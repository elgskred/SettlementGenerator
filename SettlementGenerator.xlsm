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SettlementGenerator\"/>
    </mc:Choice>
  </mc:AlternateContent>
  <bookViews>
    <workbookView xWindow="0" yWindow="0" windowWidth="28770" windowHeight="12015" activeTab="1"/>
  </bookViews>
  <sheets>
    <sheet name="Town" sheetId="2" r:id="rId1"/>
    <sheet name="Data" sheetId="1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0" i="1" l="1"/>
  <c r="Y10" i="1"/>
  <c r="Z17" i="1"/>
  <c r="Y17" i="1"/>
  <c r="Y7" i="1"/>
  <c r="Z7" i="1"/>
  <c r="S47" i="1" l="1"/>
  <c r="S48" i="1"/>
  <c r="S49" i="1"/>
  <c r="S46" i="1"/>
  <c r="E10" i="1" l="1"/>
  <c r="Y14" i="1" l="1"/>
  <c r="Z14" i="1"/>
  <c r="Z6" i="1"/>
  <c r="Y6" i="1"/>
  <c r="Y5" i="1"/>
  <c r="Z5" i="1"/>
  <c r="T34" i="1"/>
  <c r="T33" i="1"/>
  <c r="T32" i="1"/>
  <c r="Y21" i="1"/>
  <c r="Z19" i="1"/>
  <c r="Y19" i="1"/>
  <c r="R33" i="1"/>
  <c r="T7" i="1"/>
  <c r="M6" i="1"/>
  <c r="M8" i="1"/>
  <c r="M7" i="1"/>
  <c r="J9" i="1"/>
  <c r="Y22" i="1"/>
  <c r="R34" i="1"/>
  <c r="R32" i="1"/>
  <c r="Z20" i="1" l="1"/>
  <c r="Y20" i="1"/>
  <c r="M9" i="1"/>
  <c r="U33" i="1"/>
  <c r="U32" i="1"/>
  <c r="U34" i="1"/>
  <c r="R35" i="1"/>
  <c r="Q25" i="1" l="1"/>
  <c r="R25" i="1" s="1"/>
  <c r="T8" i="1"/>
  <c r="T6" i="1"/>
  <c r="Z21" i="1"/>
  <c r="Z22" i="1"/>
  <c r="S18" i="1"/>
  <c r="E38" i="1"/>
  <c r="F33" i="1"/>
  <c r="I30" i="1" s="1"/>
  <c r="J30" i="1" s="1"/>
  <c r="F32" i="1"/>
  <c r="I29" i="1" s="1"/>
  <c r="N8" i="1"/>
  <c r="L8" i="1"/>
  <c r="N7" i="1"/>
  <c r="L7" i="1"/>
  <c r="N6" i="1"/>
  <c r="L6" i="1"/>
  <c r="K9" i="1"/>
  <c r="I9" i="1"/>
  <c r="Z16" i="1" l="1"/>
  <c r="Z15" i="1"/>
  <c r="S25" i="1"/>
  <c r="T25" i="1"/>
  <c r="I31" i="1"/>
  <c r="J31" i="1" s="1"/>
  <c r="Y16" i="1"/>
  <c r="Y15" i="1"/>
  <c r="L9" i="1"/>
  <c r="I13" i="1"/>
  <c r="R40" i="1" s="1"/>
  <c r="N9" i="1"/>
  <c r="I14" i="1"/>
  <c r="R41" i="1" s="1"/>
  <c r="J29" i="1"/>
  <c r="J32" i="1" l="1"/>
  <c r="I19" i="1" s="1"/>
  <c r="J13" i="1"/>
  <c r="U58" i="1" s="1"/>
  <c r="V58" i="1" s="1"/>
  <c r="J14" i="1"/>
  <c r="I32" i="1"/>
  <c r="I18" i="1" l="1"/>
  <c r="U59" i="1"/>
  <c r="V59" i="1" s="1"/>
  <c r="K14" i="1"/>
  <c r="L14" i="1" s="1"/>
  <c r="K13" i="1"/>
  <c r="L13" i="1" s="1"/>
  <c r="Q43" i="1"/>
  <c r="Q42" i="1"/>
  <c r="R42" i="1"/>
  <c r="Q61" i="1"/>
  <c r="Q62" i="1"/>
  <c r="Y9" i="1"/>
  <c r="Z9" i="1" s="1"/>
  <c r="R43" i="1"/>
  <c r="U64" i="1" l="1"/>
  <c r="W64" i="1" s="1"/>
  <c r="K18" i="1"/>
  <c r="R49" i="1"/>
  <c r="S14" i="1"/>
  <c r="Y12" i="1" s="1"/>
  <c r="Z12" i="1" s="1"/>
  <c r="R48" i="1"/>
  <c r="K19" i="1"/>
  <c r="U65" i="1"/>
  <c r="V65" i="1" s="1"/>
  <c r="W65" i="1" s="1"/>
  <c r="J43" i="1"/>
  <c r="Q20" i="1" s="1"/>
  <c r="J19" i="1"/>
  <c r="J42" i="1"/>
  <c r="J18" i="1"/>
  <c r="R59" i="1"/>
  <c r="R47" i="1" s="1"/>
  <c r="W59" i="1"/>
  <c r="R58" i="1"/>
  <c r="R46" i="1" s="1"/>
  <c r="X8" i="1" l="1"/>
  <c r="Z8" i="1" s="1"/>
  <c r="V64" i="1"/>
  <c r="S12" i="1"/>
  <c r="Y18" i="1" s="1"/>
  <c r="Z18" i="1" s="1"/>
  <c r="R50" i="1"/>
  <c r="Q26" i="1"/>
  <c r="S13" i="1"/>
  <c r="Y11" i="1" s="1"/>
  <c r="Z11" i="1" s="1"/>
  <c r="W58" i="1"/>
  <c r="R26" i="1" l="1"/>
  <c r="T26" i="1"/>
  <c r="Q27" i="1"/>
  <c r="S26" i="1"/>
  <c r="Y13" i="1"/>
  <c r="Z13" i="1" s="1"/>
  <c r="Y8" i="1"/>
  <c r="R27" i="1" l="1"/>
  <c r="S27" i="1"/>
  <c r="T27" i="1"/>
</calcChain>
</file>

<file path=xl/sharedStrings.xml><?xml version="1.0" encoding="utf-8"?>
<sst xmlns="http://schemas.openxmlformats.org/spreadsheetml/2006/main" count="298" uniqueCount="187">
  <si>
    <t>Peasants:</t>
  </si>
  <si>
    <t>Aristocrats:</t>
  </si>
  <si>
    <t>Total</t>
  </si>
  <si>
    <t>Num</t>
  </si>
  <si>
    <t>Production:</t>
  </si>
  <si>
    <t>Grain</t>
  </si>
  <si>
    <t>Vegetables</t>
  </si>
  <si>
    <t>cal/ha/day</t>
  </si>
  <si>
    <t>Diet</t>
  </si>
  <si>
    <t>Meat</t>
  </si>
  <si>
    <t>Peasant</t>
  </si>
  <si>
    <t>Aristocrat</t>
  </si>
  <si>
    <t>cal/day</t>
  </si>
  <si>
    <t>Planting/harvesting speed</t>
  </si>
  <si>
    <t>Farmers needed</t>
  </si>
  <si>
    <t>Cow</t>
  </si>
  <si>
    <t>Weight</t>
  </si>
  <si>
    <t>kg</t>
  </si>
  <si>
    <t>Nutritions</t>
  </si>
  <si>
    <t>Lamb</t>
  </si>
  <si>
    <t>cal/100g</t>
  </si>
  <si>
    <t>cal/kg</t>
  </si>
  <si>
    <t>Meat needed per day in kg</t>
  </si>
  <si>
    <t>Sheep</t>
  </si>
  <si>
    <t>Number</t>
  </si>
  <si>
    <t>Grazing areal</t>
  </si>
  <si>
    <t>Meat distribution cow/lamb</t>
  </si>
  <si>
    <t>Growth time</t>
  </si>
  <si>
    <t>Days</t>
  </si>
  <si>
    <t>Animal byproducts</t>
  </si>
  <si>
    <t>Milk</t>
  </si>
  <si>
    <t>Wool</t>
  </si>
  <si>
    <t>litre/day</t>
  </si>
  <si>
    <t>kg/year</t>
  </si>
  <si>
    <t>Totals</t>
  </si>
  <si>
    <t>Cow categories</t>
  </si>
  <si>
    <t>Beast of burden</t>
  </si>
  <si>
    <t>Dairy cow</t>
  </si>
  <si>
    <t>distribution</t>
  </si>
  <si>
    <t>Animals needed</t>
  </si>
  <si>
    <t>Jobs:</t>
  </si>
  <si>
    <t>Farmer</t>
  </si>
  <si>
    <t>Slaughter</t>
  </si>
  <si>
    <t>Leatherworker</t>
  </si>
  <si>
    <t>Blacksmith</t>
  </si>
  <si>
    <t>Cow hide</t>
  </si>
  <si>
    <t>kg/day</t>
  </si>
  <si>
    <t>Farmers needed for milking</t>
  </si>
  <si>
    <t>Milk time</t>
  </si>
  <si>
    <t>min</t>
  </si>
  <si>
    <t>hour</t>
  </si>
  <si>
    <t>Alloted time</t>
  </si>
  <si>
    <t>Required manpower</t>
  </si>
  <si>
    <t>Dairy</t>
  </si>
  <si>
    <t>Lumberer</t>
  </si>
  <si>
    <t>Carpenter</t>
  </si>
  <si>
    <t>Tailor</t>
  </si>
  <si>
    <t>Mason</t>
  </si>
  <si>
    <t>Jeweler</t>
  </si>
  <si>
    <t>Merchant</t>
  </si>
  <si>
    <t>Healer</t>
  </si>
  <si>
    <t>Clergy</t>
  </si>
  <si>
    <t>Low</t>
  </si>
  <si>
    <t>Top</t>
  </si>
  <si>
    <t>Selfsustain</t>
  </si>
  <si>
    <t>Birthrate</t>
  </si>
  <si>
    <t>Pop growth/year</t>
  </si>
  <si>
    <t>Birth rate</t>
  </si>
  <si>
    <t>Death rate</t>
  </si>
  <si>
    <t>Calorie Requirements</t>
  </si>
  <si>
    <t>Population growth per year</t>
  </si>
  <si>
    <t>Population</t>
  </si>
  <si>
    <t>Diet distribution</t>
  </si>
  <si>
    <t>Food production in calories</t>
  </si>
  <si>
    <t>Calorie distribution</t>
  </si>
  <si>
    <t>Animal calorie distribution</t>
  </si>
  <si>
    <t>Animal growth time</t>
  </si>
  <si>
    <t>Farm areal requirements - In hectare</t>
  </si>
  <si>
    <t>Minimum amount of animals required to feed the town</t>
  </si>
  <si>
    <t>2man teams planting/harvesting time per day in hectare</t>
  </si>
  <si>
    <t>Cattle uses and distribution</t>
  </si>
  <si>
    <t>Dairy production requirements</t>
  </si>
  <si>
    <t>Magic Shops</t>
  </si>
  <si>
    <t>Tavern</t>
  </si>
  <si>
    <t>Inn</t>
  </si>
  <si>
    <t>Settlement area including local farms</t>
  </si>
  <si>
    <t>Type</t>
  </si>
  <si>
    <t>Hectare</t>
  </si>
  <si>
    <t>City</t>
  </si>
  <si>
    <t>Farms</t>
  </si>
  <si>
    <t>Total area</t>
  </si>
  <si>
    <t>Area for single year</t>
  </si>
  <si>
    <t>Average household size</t>
  </si>
  <si>
    <t>Size</t>
  </si>
  <si>
    <t>Houses</t>
  </si>
  <si>
    <t>Average housesize</t>
  </si>
  <si>
    <t>Servants</t>
  </si>
  <si>
    <t>Artisans</t>
  </si>
  <si>
    <t>Artisans:</t>
  </si>
  <si>
    <t>Size in hectare</t>
  </si>
  <si>
    <t>Size in m2</t>
  </si>
  <si>
    <t>kg/ha/day</t>
  </si>
  <si>
    <t>Production</t>
  </si>
  <si>
    <t>City center</t>
  </si>
  <si>
    <t>Town types</t>
  </si>
  <si>
    <t>High</t>
  </si>
  <si>
    <t>Town types and populations</t>
  </si>
  <si>
    <t>Capital</t>
  </si>
  <si>
    <t>Metropol</t>
  </si>
  <si>
    <t>Town</t>
  </si>
  <si>
    <t>Settlement</t>
  </si>
  <si>
    <t>Hamlet</t>
  </si>
  <si>
    <t>Village</t>
  </si>
  <si>
    <t>Major City</t>
  </si>
  <si>
    <t>Large City</t>
  </si>
  <si>
    <t>Artisan</t>
  </si>
  <si>
    <t>Population distribution</t>
  </si>
  <si>
    <t>Square dim in m</t>
  </si>
  <si>
    <t>Food production/consumption</t>
  </si>
  <si>
    <t>Town generator for D&amp;D</t>
  </si>
  <si>
    <t>Town size</t>
  </si>
  <si>
    <t>Peasants</t>
  </si>
  <si>
    <t>Nobles</t>
  </si>
  <si>
    <t>Jobs</t>
  </si>
  <si>
    <t>Soldiers</t>
  </si>
  <si>
    <t>Large Town</t>
  </si>
  <si>
    <t>Small Town</t>
  </si>
  <si>
    <t xml:space="preserve"> Population</t>
  </si>
  <si>
    <t>Law enforcement</t>
  </si>
  <si>
    <t>Law Enforcement</t>
  </si>
  <si>
    <t>Types</t>
  </si>
  <si>
    <t>Negligible</t>
  </si>
  <si>
    <t>Sporadic</t>
  </si>
  <si>
    <t>Unreliable</t>
  </si>
  <si>
    <t>Typical</t>
  </si>
  <si>
    <t>Zealous</t>
  </si>
  <si>
    <t>Oppressive</t>
  </si>
  <si>
    <t>Tyrannical</t>
  </si>
  <si>
    <t>radius in m</t>
  </si>
  <si>
    <t>Farming production required for selfsustain</t>
  </si>
  <si>
    <t>City production/consumption</t>
  </si>
  <si>
    <t>Farming production after city production modifier</t>
  </si>
  <si>
    <t>Total kg/day</t>
  </si>
  <si>
    <t>Requirements for selfsustain</t>
  </si>
  <si>
    <t>Farming areal required</t>
  </si>
  <si>
    <t>Per person</t>
  </si>
  <si>
    <t>Animal areal required</t>
  </si>
  <si>
    <t>Amount</t>
  </si>
  <si>
    <t>Square kilometre</t>
  </si>
  <si>
    <t>In kg</t>
  </si>
  <si>
    <t>Cow(meat)</t>
  </si>
  <si>
    <t>Sheep(meat)</t>
  </si>
  <si>
    <t>Economy</t>
  </si>
  <si>
    <t>Town statistics</t>
  </si>
  <si>
    <t>Radius in km</t>
  </si>
  <si>
    <t>Total areal the city occupies</t>
  </si>
  <si>
    <t>Cow meat</t>
  </si>
  <si>
    <t>Lamb meat</t>
  </si>
  <si>
    <t>Import/Export</t>
  </si>
  <si>
    <t>Tons</t>
  </si>
  <si>
    <t>Exporting</t>
  </si>
  <si>
    <t>Importing</t>
  </si>
  <si>
    <t>Average import/export in tons per day</t>
  </si>
  <si>
    <t>Local farms and grazing</t>
  </si>
  <si>
    <t>Cows</t>
  </si>
  <si>
    <t>Animals</t>
  </si>
  <si>
    <t>Per animal</t>
  </si>
  <si>
    <t>Unit</t>
  </si>
  <si>
    <t>Harvesting time</t>
  </si>
  <si>
    <t>days</t>
  </si>
  <si>
    <t>Healers</t>
  </si>
  <si>
    <t>Farmers</t>
  </si>
  <si>
    <t>Slaughters</t>
  </si>
  <si>
    <t>Tailors</t>
  </si>
  <si>
    <t>Leatheroworkers</t>
  </si>
  <si>
    <t>Blacksmiths</t>
  </si>
  <si>
    <t>Lumberers</t>
  </si>
  <si>
    <t>Carpenters</t>
  </si>
  <si>
    <t>Masons</t>
  </si>
  <si>
    <t>Merchants</t>
  </si>
  <si>
    <t>Dairys</t>
  </si>
  <si>
    <t>Jewlers</t>
  </si>
  <si>
    <t>Town size legend</t>
  </si>
  <si>
    <t>Note: Changing values on this will do nothing.</t>
  </si>
  <si>
    <r>
      <rPr>
        <b/>
        <sz val="11"/>
        <color theme="1"/>
        <rFont val="Calibri"/>
        <family val="2"/>
        <scheme val="minor"/>
      </rPr>
      <t xml:space="preserve">How to use:
</t>
    </r>
    <r>
      <rPr>
        <sz val="11"/>
        <color theme="1"/>
        <rFont val="Calibri"/>
        <family val="2"/>
        <scheme val="minor"/>
      </rPr>
      <t>Select the general size of the town and set the law enforcement level, then press the magical grey button.
If you want to change any of the values/calculations, look in the "Data" sheet. All values marked in green can be changed to manipulate the calcualtions.</t>
    </r>
  </si>
  <si>
    <t>Weaponsmith</t>
  </si>
  <si>
    <t>Anaimal weights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</si>
</sst>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_-* #,##0_-;\-* #,##0_-;_-* &quot;-&quot;??_-;_-@_-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4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1" fillId="0" borderId="0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0" borderId="7" xfId="0" applyFont="1" applyBorder="1"/>
    <xf numFmtId="0" fontId="0" fillId="0" borderId="8" xfId="0" applyBorder="1"/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8" xfId="0" applyFont="1" applyBorder="1"/>
    <xf numFmtId="0" fontId="0" fillId="0" borderId="7" xfId="0" applyBorder="1" applyAlignment="1">
      <alignment horizontal="center"/>
    </xf>
    <xf numFmtId="0" fontId="0" fillId="0" borderId="1" xfId="0" applyFont="1" applyBorder="1"/>
    <xf numFmtId="0" fontId="0" fillId="0" borderId="6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43" fontId="0" fillId="0" borderId="0" xfId="1" applyFont="1"/>
    <xf numFmtId="0" fontId="0" fillId="0" borderId="0" xfId="0" applyFill="1" applyBorder="1"/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/>
    <xf numFmtId="0" fontId="0" fillId="0" borderId="4" xfId="0" applyFill="1" applyBorder="1"/>
    <xf numFmtId="10" fontId="0" fillId="0" borderId="0" xfId="0" applyNumberFormat="1"/>
    <xf numFmtId="0" fontId="1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Border="1"/>
    <xf numFmtId="0" fontId="0" fillId="0" borderId="7" xfId="0" applyFont="1" applyBorder="1"/>
    <xf numFmtId="0" fontId="0" fillId="0" borderId="5" xfId="0" applyFont="1" applyBorder="1"/>
    <xf numFmtId="0" fontId="0" fillId="0" borderId="8" xfId="0" applyFont="1" applyBorder="1"/>
    <xf numFmtId="0" fontId="1" fillId="0" borderId="12" xfId="0" applyFont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" fillId="0" borderId="13" xfId="0" applyFont="1" applyBorder="1"/>
    <xf numFmtId="0" fontId="0" fillId="0" borderId="14" xfId="0" applyBorder="1" applyAlignment="1">
      <alignment horizontal="center"/>
    </xf>
    <xf numFmtId="1" fontId="0" fillId="0" borderId="0" xfId="0" applyNumberFormat="1" applyBorder="1"/>
    <xf numFmtId="0" fontId="0" fillId="0" borderId="16" xfId="0" applyBorder="1" applyAlignment="1">
      <alignment horizontal="center"/>
    </xf>
    <xf numFmtId="1" fontId="1" fillId="0" borderId="18" xfId="0" applyNumberFormat="1" applyFont="1" applyBorder="1"/>
    <xf numFmtId="0" fontId="0" fillId="0" borderId="19" xfId="0" applyBorder="1" applyAlignment="1">
      <alignment horizontal="center"/>
    </xf>
    <xf numFmtId="0" fontId="0" fillId="0" borderId="12" xfId="0" applyBorder="1"/>
    <xf numFmtId="0" fontId="5" fillId="0" borderId="15" xfId="0" applyFont="1" applyBorder="1" applyAlignment="1">
      <alignment wrapText="1"/>
    </xf>
    <xf numFmtId="0" fontId="5" fillId="0" borderId="17" xfId="0" applyFont="1" applyBorder="1" applyAlignment="1">
      <alignment wrapText="1"/>
    </xf>
    <xf numFmtId="10" fontId="0" fillId="2" borderId="0" xfId="0" applyNumberFormat="1" applyFill="1" applyBorder="1"/>
    <xf numFmtId="10" fontId="0" fillId="2" borderId="16" xfId="0" applyNumberFormat="1" applyFill="1" applyBorder="1"/>
    <xf numFmtId="10" fontId="0" fillId="2" borderId="18" xfId="0" applyNumberFormat="1" applyFill="1" applyBorder="1"/>
    <xf numFmtId="10" fontId="0" fillId="2" borderId="19" xfId="0" applyNumberFormat="1" applyFill="1" applyBorder="1"/>
    <xf numFmtId="164" fontId="0" fillId="2" borderId="0" xfId="1" applyNumberFormat="1" applyFont="1" applyFill="1" applyBorder="1"/>
    <xf numFmtId="9" fontId="0" fillId="2" borderId="0" xfId="2" applyFont="1" applyFill="1" applyBorder="1"/>
    <xf numFmtId="0" fontId="0" fillId="2" borderId="0" xfId="0" applyFill="1" applyBorder="1"/>
    <xf numFmtId="0" fontId="0" fillId="2" borderId="16" xfId="0" applyFill="1" applyBorder="1"/>
    <xf numFmtId="164" fontId="0" fillId="2" borderId="18" xfId="1" applyNumberFormat="1" applyFont="1" applyFill="1" applyBorder="1"/>
    <xf numFmtId="9" fontId="0" fillId="2" borderId="18" xfId="0" applyNumberFormat="1" applyFill="1" applyBorder="1"/>
    <xf numFmtId="0" fontId="0" fillId="2" borderId="18" xfId="0" applyFill="1" applyBorder="1"/>
    <xf numFmtId="0" fontId="0" fillId="2" borderId="19" xfId="0" applyFill="1" applyBorder="1"/>
    <xf numFmtId="3" fontId="0" fillId="2" borderId="5" xfId="0" applyNumberFormat="1" applyFill="1" applyBorder="1"/>
    <xf numFmtId="3" fontId="0" fillId="2" borderId="8" xfId="0" applyNumberFormat="1" applyFill="1" applyBorder="1"/>
    <xf numFmtId="0" fontId="0" fillId="2" borderId="5" xfId="0" applyFill="1" applyBorder="1"/>
    <xf numFmtId="0" fontId="0" fillId="2" borderId="8" xfId="0" applyFill="1" applyBorder="1"/>
    <xf numFmtId="0" fontId="0" fillId="2" borderId="7" xfId="0" applyFill="1" applyBorder="1"/>
    <xf numFmtId="9" fontId="0" fillId="2" borderId="0" xfId="0" applyNumberFormat="1" applyFill="1" applyBorder="1"/>
    <xf numFmtId="0" fontId="0" fillId="2" borderId="4" xfId="0" applyFill="1" applyBorder="1"/>
    <xf numFmtId="9" fontId="0" fillId="2" borderId="7" xfId="0" applyNumberFormat="1" applyFill="1" applyBorder="1"/>
    <xf numFmtId="0" fontId="0" fillId="2" borderId="6" xfId="0" applyFill="1" applyBorder="1"/>
    <xf numFmtId="43" fontId="0" fillId="2" borderId="0" xfId="1" applyFont="1" applyFill="1" applyBorder="1"/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4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2" fontId="0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 vertical="top" wrapText="1"/>
    </xf>
    <xf numFmtId="164" fontId="0" fillId="0" borderId="0" xfId="1" applyNumberFormat="1" applyFont="1" applyFill="1" applyBorder="1" applyAlignment="1">
      <alignment horizontal="center"/>
    </xf>
    <xf numFmtId="0" fontId="0" fillId="0" borderId="0" xfId="0" applyFill="1"/>
    <xf numFmtId="164" fontId="0" fillId="0" borderId="2" xfId="1" applyNumberFormat="1" applyFont="1" applyFill="1" applyBorder="1" applyAlignment="1">
      <alignment horizontal="center"/>
    </xf>
    <xf numFmtId="164" fontId="0" fillId="0" borderId="3" xfId="1" applyNumberFormat="1" applyFont="1" applyFill="1" applyBorder="1" applyAlignment="1">
      <alignment horizontal="center"/>
    </xf>
    <xf numFmtId="164" fontId="0" fillId="0" borderId="5" xfId="1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Fill="1" applyBorder="1" applyAlignment="1">
      <alignment horizontal="center"/>
    </xf>
    <xf numFmtId="164" fontId="0" fillId="0" borderId="8" xfId="1" applyNumberFormat="1" applyFont="1" applyFill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0" fillId="0" borderId="7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5" xfId="0" applyBorder="1" applyAlignment="1">
      <alignment horizontal="center"/>
    </xf>
    <xf numFmtId="9" fontId="0" fillId="0" borderId="0" xfId="0" applyNumberFormat="1" applyFill="1" applyBorder="1"/>
    <xf numFmtId="1" fontId="0" fillId="0" borderId="7" xfId="0" applyNumberFormat="1" applyBorder="1"/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0" xfId="0" applyBorder="1" applyAlignment="1">
      <alignment horizontal="center"/>
    </xf>
    <xf numFmtId="1" fontId="0" fillId="0" borderId="5" xfId="0" applyNumberFormat="1" applyBorder="1"/>
    <xf numFmtId="1" fontId="0" fillId="0" borderId="8" xfId="0" applyNumberFormat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19</xdr:col>
          <xdr:colOff>0</xdr:colOff>
          <xdr:row>5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94BAE40B-A237-4062-A071-AD2C74E1FD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new town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56"/>
  <sheetViews>
    <sheetView workbookViewId="0">
      <selection activeCell="AA18" sqref="AA18"/>
    </sheetView>
  </sheetViews>
  <sheetFormatPr defaultRowHeight="15" x14ac:dyDescent="0.25"/>
  <sheetData>
    <row r="1" spans="1:19" x14ac:dyDescent="0.25">
      <c r="A1" s="101" t="s">
        <v>119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0"/>
      <c r="O1" s="99"/>
      <c r="P1" s="99"/>
      <c r="Q1" s="99"/>
      <c r="R1" s="99"/>
      <c r="S1" s="99"/>
    </row>
    <row r="2" spans="1:19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99"/>
      <c r="O2" s="99"/>
      <c r="P2" s="99"/>
      <c r="Q2" s="99"/>
      <c r="R2" s="99"/>
      <c r="S2" s="99"/>
    </row>
    <row r="3" spans="1:19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99"/>
      <c r="O3" s="99"/>
      <c r="P3" s="99"/>
      <c r="Q3" s="99"/>
      <c r="R3" s="99"/>
      <c r="S3" s="99"/>
    </row>
    <row r="4" spans="1:19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99"/>
      <c r="O4" s="99"/>
      <c r="P4" s="99"/>
      <c r="Q4" s="99"/>
      <c r="R4" s="99"/>
      <c r="S4" s="99"/>
    </row>
    <row r="5" spans="1:19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99"/>
      <c r="O5" s="99"/>
      <c r="P5" s="99"/>
      <c r="Q5" s="99"/>
      <c r="R5" s="99"/>
      <c r="S5" s="99"/>
    </row>
    <row r="6" spans="1:19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99"/>
      <c r="O6" s="99"/>
      <c r="P6" s="99"/>
      <c r="Q6" s="99"/>
      <c r="R6" s="99"/>
      <c r="S6" s="99"/>
    </row>
    <row r="7" spans="1:19" ht="15" customHeight="1" x14ac:dyDescent="0.25">
      <c r="A7" s="103" t="s">
        <v>127</v>
      </c>
      <c r="B7" s="103"/>
      <c r="C7" s="103"/>
      <c r="D7" s="103">
        <v>9214</v>
      </c>
      <c r="E7" s="103"/>
      <c r="F7" s="103"/>
      <c r="G7" s="99"/>
      <c r="H7" s="99"/>
      <c r="I7" s="99"/>
      <c r="J7" s="99" t="s">
        <v>120</v>
      </c>
      <c r="K7" s="99"/>
      <c r="L7" s="102" t="s">
        <v>88</v>
      </c>
      <c r="M7" s="102"/>
      <c r="N7" s="111" t="s">
        <v>184</v>
      </c>
      <c r="O7" s="111"/>
      <c r="P7" s="111"/>
      <c r="Q7" s="111"/>
      <c r="R7" s="111"/>
      <c r="S7" s="111"/>
    </row>
    <row r="8" spans="1:19" x14ac:dyDescent="0.25">
      <c r="A8" s="103"/>
      <c r="B8" s="103"/>
      <c r="C8" s="103"/>
      <c r="D8" s="103"/>
      <c r="E8" s="103"/>
      <c r="F8" s="103"/>
      <c r="G8" s="99"/>
      <c r="H8" s="99"/>
      <c r="I8" s="99"/>
      <c r="J8" s="99"/>
      <c r="K8" s="99"/>
      <c r="L8" s="102"/>
      <c r="M8" s="102"/>
      <c r="N8" s="111"/>
      <c r="O8" s="111"/>
      <c r="P8" s="111"/>
      <c r="Q8" s="111"/>
      <c r="R8" s="111"/>
      <c r="S8" s="111"/>
    </row>
    <row r="9" spans="1:19" x14ac:dyDescent="0.25">
      <c r="A9" s="99" t="s">
        <v>121</v>
      </c>
      <c r="B9" s="99"/>
      <c r="C9" s="99"/>
      <c r="D9" s="88">
        <v>4565</v>
      </c>
      <c r="E9" s="88"/>
      <c r="F9" s="88"/>
      <c r="G9" s="99"/>
      <c r="H9" s="99"/>
      <c r="I9" s="99"/>
      <c r="J9" s="99" t="s">
        <v>128</v>
      </c>
      <c r="K9" s="99"/>
      <c r="L9" s="102" t="s">
        <v>134</v>
      </c>
      <c r="M9" s="102"/>
      <c r="N9" s="111"/>
      <c r="O9" s="111"/>
      <c r="P9" s="111"/>
      <c r="Q9" s="111"/>
      <c r="R9" s="111"/>
      <c r="S9" s="111"/>
    </row>
    <row r="10" spans="1:19" x14ac:dyDescent="0.25">
      <c r="A10" s="99"/>
      <c r="B10" s="99"/>
      <c r="C10" s="99"/>
      <c r="D10" s="88"/>
      <c r="E10" s="88"/>
      <c r="F10" s="88"/>
      <c r="G10" s="99"/>
      <c r="H10" s="99"/>
      <c r="I10" s="99"/>
      <c r="J10" s="99"/>
      <c r="K10" s="99"/>
      <c r="L10" s="102"/>
      <c r="M10" s="102"/>
      <c r="N10" s="111"/>
      <c r="O10" s="111"/>
      <c r="P10" s="111"/>
      <c r="Q10" s="111"/>
      <c r="R10" s="111"/>
      <c r="S10" s="111"/>
    </row>
    <row r="11" spans="1:19" x14ac:dyDescent="0.25">
      <c r="A11" s="99" t="s">
        <v>97</v>
      </c>
      <c r="B11" s="99"/>
      <c r="C11" s="99"/>
      <c r="D11" s="88">
        <v>3218</v>
      </c>
      <c r="E11" s="88"/>
      <c r="F11" s="88"/>
      <c r="G11" s="105" t="s">
        <v>153</v>
      </c>
      <c r="H11" s="105"/>
      <c r="I11" s="105"/>
      <c r="J11" s="105"/>
      <c r="K11" s="105"/>
      <c r="L11" s="105"/>
      <c r="M11" s="105"/>
      <c r="N11" s="111"/>
      <c r="O11" s="111"/>
      <c r="P11" s="111"/>
      <c r="Q11" s="111"/>
      <c r="R11" s="111"/>
      <c r="S11" s="111"/>
    </row>
    <row r="12" spans="1:19" x14ac:dyDescent="0.25">
      <c r="A12" s="99"/>
      <c r="B12" s="99"/>
      <c r="C12" s="99"/>
      <c r="D12" s="88"/>
      <c r="E12" s="88"/>
      <c r="F12" s="88"/>
      <c r="G12" s="105"/>
      <c r="H12" s="105"/>
      <c r="I12" s="105"/>
      <c r="J12" s="105"/>
      <c r="K12" s="105"/>
      <c r="L12" s="105"/>
      <c r="M12" s="105"/>
      <c r="N12" s="111"/>
      <c r="O12" s="111"/>
      <c r="P12" s="111"/>
      <c r="Q12" s="111"/>
      <c r="R12" s="111"/>
      <c r="S12" s="111"/>
    </row>
    <row r="13" spans="1:19" x14ac:dyDescent="0.25">
      <c r="A13" s="99" t="s">
        <v>122</v>
      </c>
      <c r="B13" s="99"/>
      <c r="C13" s="99"/>
      <c r="D13" s="88">
        <v>1372</v>
      </c>
      <c r="E13" s="88"/>
      <c r="F13" s="88"/>
      <c r="G13" s="99" t="s">
        <v>155</v>
      </c>
      <c r="H13" s="99"/>
      <c r="I13" s="99"/>
      <c r="J13" s="99" t="s">
        <v>87</v>
      </c>
      <c r="K13" s="99"/>
      <c r="L13" s="99" t="s">
        <v>154</v>
      </c>
      <c r="M13" s="99"/>
      <c r="N13" s="111"/>
      <c r="O13" s="111"/>
      <c r="P13" s="111"/>
      <c r="Q13" s="111"/>
      <c r="R13" s="111"/>
      <c r="S13" s="111"/>
    </row>
    <row r="14" spans="1:19" x14ac:dyDescent="0.25">
      <c r="A14" s="99"/>
      <c r="B14" s="99"/>
      <c r="C14" s="99"/>
      <c r="D14" s="88"/>
      <c r="E14" s="88"/>
      <c r="F14" s="88"/>
      <c r="G14" s="99"/>
      <c r="H14" s="99"/>
      <c r="I14" s="99"/>
      <c r="J14" s="99"/>
      <c r="K14" s="99"/>
      <c r="L14" s="99"/>
      <c r="M14" s="99"/>
      <c r="N14" s="111"/>
      <c r="O14" s="111"/>
      <c r="P14" s="111"/>
      <c r="Q14" s="111"/>
      <c r="R14" s="111"/>
      <c r="S14" s="111"/>
    </row>
    <row r="15" spans="1:19" x14ac:dyDescent="0.25">
      <c r="A15" s="99" t="s">
        <v>124</v>
      </c>
      <c r="B15" s="99"/>
      <c r="C15" s="99"/>
      <c r="D15" s="88">
        <v>57</v>
      </c>
      <c r="E15" s="88"/>
      <c r="F15" s="88"/>
      <c r="G15" s="102" t="s">
        <v>103</v>
      </c>
      <c r="H15" s="102"/>
      <c r="I15" s="102"/>
      <c r="J15" s="104">
        <v>175</v>
      </c>
      <c r="K15" s="104"/>
      <c r="L15" s="106">
        <v>1.6579999999999999</v>
      </c>
      <c r="M15" s="106"/>
      <c r="N15" s="111"/>
      <c r="O15" s="111"/>
      <c r="P15" s="111"/>
      <c r="Q15" s="111"/>
      <c r="R15" s="111"/>
      <c r="S15" s="111"/>
    </row>
    <row r="16" spans="1:19" x14ac:dyDescent="0.25">
      <c r="A16" s="99"/>
      <c r="B16" s="99"/>
      <c r="C16" s="99"/>
      <c r="D16" s="88"/>
      <c r="E16" s="88"/>
      <c r="F16" s="88"/>
      <c r="G16" s="102"/>
      <c r="H16" s="102"/>
      <c r="I16" s="102"/>
      <c r="J16" s="104"/>
      <c r="K16" s="104"/>
      <c r="L16" s="106"/>
      <c r="M16" s="106"/>
      <c r="N16" s="111"/>
      <c r="O16" s="111"/>
      <c r="P16" s="111"/>
      <c r="Q16" s="111"/>
      <c r="R16" s="111"/>
      <c r="S16" s="111"/>
    </row>
    <row r="17" spans="1:19" x14ac:dyDescent="0.25">
      <c r="A17" s="99" t="s">
        <v>123</v>
      </c>
      <c r="B17" s="99"/>
      <c r="C17" s="99"/>
      <c r="D17" s="99"/>
      <c r="E17" s="99"/>
      <c r="F17" s="99"/>
      <c r="G17" s="102" t="s">
        <v>163</v>
      </c>
      <c r="H17" s="102"/>
      <c r="I17" s="102"/>
      <c r="J17" s="104">
        <v>12814</v>
      </c>
      <c r="K17" s="104"/>
      <c r="L17" s="106">
        <v>14.188000000000001</v>
      </c>
      <c r="M17" s="106"/>
      <c r="N17" s="111"/>
      <c r="O17" s="111"/>
      <c r="P17" s="111"/>
      <c r="Q17" s="111"/>
      <c r="R17" s="111"/>
      <c r="S17" s="111"/>
    </row>
    <row r="18" spans="1:19" x14ac:dyDescent="0.25">
      <c r="A18" s="99"/>
      <c r="B18" s="99"/>
      <c r="C18" s="99"/>
      <c r="D18" s="99"/>
      <c r="E18" s="99"/>
      <c r="F18" s="99"/>
      <c r="G18" s="102"/>
      <c r="H18" s="102"/>
      <c r="I18" s="102"/>
      <c r="J18" s="104"/>
      <c r="K18" s="104"/>
      <c r="L18" s="106"/>
      <c r="M18" s="106"/>
      <c r="N18" s="111"/>
      <c r="O18" s="111"/>
      <c r="P18" s="111"/>
      <c r="Q18" s="111"/>
      <c r="R18" s="111"/>
      <c r="S18" s="111"/>
    </row>
    <row r="19" spans="1:19" x14ac:dyDescent="0.25">
      <c r="A19" s="87" t="s">
        <v>83</v>
      </c>
      <c r="B19" s="87"/>
      <c r="C19" s="87"/>
      <c r="D19" s="88">
        <v>53</v>
      </c>
      <c r="E19" s="88"/>
      <c r="F19" s="88"/>
      <c r="G19" s="99" t="s">
        <v>2</v>
      </c>
      <c r="H19" s="99"/>
      <c r="I19" s="99"/>
      <c r="J19" s="104">
        <v>12989</v>
      </c>
      <c r="K19" s="104"/>
      <c r="L19" s="106">
        <v>14.284000000000001</v>
      </c>
      <c r="M19" s="106"/>
      <c r="N19" s="111"/>
      <c r="O19" s="111"/>
      <c r="P19" s="111"/>
      <c r="Q19" s="111"/>
      <c r="R19" s="111"/>
      <c r="S19" s="111"/>
    </row>
    <row r="20" spans="1:19" x14ac:dyDescent="0.25">
      <c r="A20" s="87"/>
      <c r="B20" s="87"/>
      <c r="C20" s="87"/>
      <c r="D20" s="88"/>
      <c r="E20" s="88"/>
      <c r="F20" s="88"/>
      <c r="G20" s="99"/>
      <c r="H20" s="99"/>
      <c r="I20" s="99"/>
      <c r="J20" s="104"/>
      <c r="K20" s="104"/>
      <c r="L20" s="106"/>
      <c r="M20" s="106"/>
      <c r="N20" s="111"/>
      <c r="O20" s="111"/>
      <c r="P20" s="111"/>
      <c r="Q20" s="111"/>
      <c r="R20" s="111"/>
      <c r="S20" s="111"/>
    </row>
    <row r="21" spans="1:19" x14ac:dyDescent="0.25">
      <c r="A21" s="87" t="s">
        <v>84</v>
      </c>
      <c r="B21" s="87"/>
      <c r="C21" s="87"/>
      <c r="D21" s="88">
        <v>26</v>
      </c>
      <c r="E21" s="88"/>
      <c r="F21" s="88"/>
      <c r="G21" s="99" t="s">
        <v>165</v>
      </c>
      <c r="H21" s="99"/>
      <c r="I21" s="99"/>
      <c r="J21" s="99"/>
      <c r="K21" s="99"/>
      <c r="L21" s="99"/>
      <c r="M21" s="99"/>
      <c r="N21" s="121" t="s">
        <v>182</v>
      </c>
      <c r="O21" s="122"/>
      <c r="P21" s="122"/>
      <c r="Q21" s="122"/>
      <c r="R21" s="122"/>
      <c r="S21" s="123"/>
    </row>
    <row r="22" spans="1:19" x14ac:dyDescent="0.25">
      <c r="A22" s="87"/>
      <c r="B22" s="87"/>
      <c r="C22" s="87"/>
      <c r="D22" s="88"/>
      <c r="E22" s="88"/>
      <c r="F22" s="88"/>
      <c r="G22" s="99"/>
      <c r="H22" s="99"/>
      <c r="I22" s="99"/>
      <c r="J22" s="99"/>
      <c r="K22" s="99"/>
      <c r="L22" s="99"/>
      <c r="M22" s="99"/>
      <c r="N22" s="124"/>
      <c r="O22" s="125"/>
      <c r="P22" s="125"/>
      <c r="Q22" s="125"/>
      <c r="R22" s="125"/>
      <c r="S22" s="126"/>
    </row>
    <row r="23" spans="1:19" x14ac:dyDescent="0.25">
      <c r="A23" s="87" t="s">
        <v>82</v>
      </c>
      <c r="B23" s="87"/>
      <c r="C23" s="87"/>
      <c r="D23" s="88">
        <v>8</v>
      </c>
      <c r="E23" s="88"/>
      <c r="F23" s="88"/>
      <c r="G23" s="88" t="s">
        <v>164</v>
      </c>
      <c r="H23" s="88"/>
      <c r="I23" s="88"/>
      <c r="J23" s="88"/>
      <c r="K23" s="88">
        <v>2449</v>
      </c>
      <c r="L23" s="88"/>
      <c r="M23" s="88"/>
      <c r="N23" s="124"/>
      <c r="O23" s="125"/>
      <c r="P23" s="125"/>
      <c r="Q23" s="125"/>
      <c r="R23" s="125"/>
      <c r="S23" s="126"/>
    </row>
    <row r="24" spans="1:19" x14ac:dyDescent="0.25">
      <c r="A24" s="87"/>
      <c r="B24" s="87"/>
      <c r="C24" s="87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124"/>
      <c r="O24" s="125"/>
      <c r="P24" s="125"/>
      <c r="Q24" s="125"/>
      <c r="R24" s="125"/>
      <c r="S24" s="126"/>
    </row>
    <row r="25" spans="1:19" ht="15" customHeight="1" x14ac:dyDescent="0.25">
      <c r="A25" s="87" t="s">
        <v>171</v>
      </c>
      <c r="B25" s="87"/>
      <c r="C25" s="87"/>
      <c r="D25" s="88">
        <v>608</v>
      </c>
      <c r="E25" s="88"/>
      <c r="F25" s="88"/>
      <c r="G25" s="88" t="s">
        <v>23</v>
      </c>
      <c r="H25" s="88"/>
      <c r="I25" s="88"/>
      <c r="J25" s="88"/>
      <c r="K25" s="88">
        <v>9163</v>
      </c>
      <c r="L25" s="88"/>
      <c r="M25" s="88"/>
      <c r="N25" s="94" t="s">
        <v>93</v>
      </c>
      <c r="O25" s="95"/>
      <c r="P25" s="95" t="s">
        <v>62</v>
      </c>
      <c r="Q25" s="95"/>
      <c r="R25" s="95" t="s">
        <v>105</v>
      </c>
      <c r="S25" s="127"/>
    </row>
    <row r="26" spans="1:19" x14ac:dyDescent="0.25">
      <c r="A26" s="87"/>
      <c r="B26" s="87"/>
      <c r="C26" s="87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96" t="s">
        <v>107</v>
      </c>
      <c r="O26" s="97"/>
      <c r="P26" s="114">
        <v>100000</v>
      </c>
      <c r="Q26" s="114"/>
      <c r="R26" s="114">
        <v>1000000</v>
      </c>
      <c r="S26" s="115"/>
    </row>
    <row r="27" spans="1:19" x14ac:dyDescent="0.25">
      <c r="A27" s="87" t="s">
        <v>172</v>
      </c>
      <c r="B27" s="87"/>
      <c r="C27" s="87"/>
      <c r="D27" s="88">
        <v>21</v>
      </c>
      <c r="E27" s="88"/>
      <c r="F27" s="88"/>
      <c r="G27" s="101" t="s">
        <v>152</v>
      </c>
      <c r="H27" s="101"/>
      <c r="I27" s="101"/>
      <c r="J27" s="101"/>
      <c r="K27" s="101"/>
      <c r="L27" s="101"/>
      <c r="M27" s="101"/>
      <c r="N27" s="110" t="s">
        <v>108</v>
      </c>
      <c r="O27" s="109"/>
      <c r="P27" s="112">
        <v>50000</v>
      </c>
      <c r="Q27" s="112"/>
      <c r="R27" s="112">
        <v>350000</v>
      </c>
      <c r="S27" s="116"/>
    </row>
    <row r="28" spans="1:19" x14ac:dyDescent="0.25">
      <c r="A28" s="87"/>
      <c r="B28" s="87"/>
      <c r="C28" s="87"/>
      <c r="D28" s="88"/>
      <c r="E28" s="88"/>
      <c r="F28" s="88"/>
      <c r="G28" s="101"/>
      <c r="H28" s="101"/>
      <c r="I28" s="101"/>
      <c r="J28" s="101"/>
      <c r="K28" s="101"/>
      <c r="L28" s="101"/>
      <c r="M28" s="101"/>
      <c r="N28" s="110" t="s">
        <v>113</v>
      </c>
      <c r="O28" s="109"/>
      <c r="P28" s="112">
        <v>15000</v>
      </c>
      <c r="Q28" s="112"/>
      <c r="R28" s="112">
        <v>50000</v>
      </c>
      <c r="S28" s="116"/>
    </row>
    <row r="29" spans="1:19" x14ac:dyDescent="0.25">
      <c r="A29" s="87" t="s">
        <v>185</v>
      </c>
      <c r="B29" s="87"/>
      <c r="C29" s="87"/>
      <c r="D29" s="88">
        <v>0</v>
      </c>
      <c r="E29" s="88"/>
      <c r="F29" s="88"/>
      <c r="G29" s="101"/>
      <c r="H29" s="101"/>
      <c r="I29" s="101"/>
      <c r="J29" s="101"/>
      <c r="K29" s="101"/>
      <c r="L29" s="101"/>
      <c r="M29" s="101"/>
      <c r="N29" s="110" t="s">
        <v>114</v>
      </c>
      <c r="O29" s="109"/>
      <c r="P29" s="112">
        <v>12000</v>
      </c>
      <c r="Q29" s="112"/>
      <c r="R29" s="112">
        <v>15000</v>
      </c>
      <c r="S29" s="116"/>
    </row>
    <row r="30" spans="1:19" x14ac:dyDescent="0.25">
      <c r="A30" s="87"/>
      <c r="B30" s="87"/>
      <c r="C30" s="87"/>
      <c r="D30" s="88"/>
      <c r="E30" s="88"/>
      <c r="F30" s="88"/>
      <c r="G30" s="101"/>
      <c r="H30" s="101"/>
      <c r="I30" s="101"/>
      <c r="J30" s="101"/>
      <c r="K30" s="101"/>
      <c r="L30" s="101"/>
      <c r="M30" s="101"/>
      <c r="N30" s="110" t="s">
        <v>88</v>
      </c>
      <c r="O30" s="109"/>
      <c r="P30" s="112">
        <v>8000</v>
      </c>
      <c r="Q30" s="112"/>
      <c r="R30" s="112">
        <v>12000</v>
      </c>
      <c r="S30" s="116"/>
    </row>
    <row r="31" spans="1:19" x14ac:dyDescent="0.25">
      <c r="A31" s="87" t="s">
        <v>173</v>
      </c>
      <c r="B31" s="87"/>
      <c r="C31" s="87"/>
      <c r="D31" s="88">
        <v>112</v>
      </c>
      <c r="E31" s="88"/>
      <c r="F31" s="88"/>
      <c r="G31" s="102" t="s">
        <v>162</v>
      </c>
      <c r="H31" s="102"/>
      <c r="I31" s="102"/>
      <c r="J31" s="102"/>
      <c r="K31" s="102"/>
      <c r="L31" s="102"/>
      <c r="M31" s="102"/>
      <c r="N31" s="110" t="s">
        <v>125</v>
      </c>
      <c r="O31" s="109"/>
      <c r="P31" s="112">
        <v>5000</v>
      </c>
      <c r="Q31" s="112"/>
      <c r="R31" s="112">
        <v>8000</v>
      </c>
      <c r="S31" s="116"/>
    </row>
    <row r="32" spans="1:19" x14ac:dyDescent="0.25">
      <c r="A32" s="87"/>
      <c r="B32" s="87"/>
      <c r="C32" s="87"/>
      <c r="D32" s="88"/>
      <c r="E32" s="88"/>
      <c r="F32" s="88"/>
      <c r="G32" s="102"/>
      <c r="H32" s="102"/>
      <c r="I32" s="102"/>
      <c r="J32" s="102"/>
      <c r="K32" s="102"/>
      <c r="L32" s="102"/>
      <c r="M32" s="102"/>
      <c r="N32" s="110" t="s">
        <v>109</v>
      </c>
      <c r="O32" s="109"/>
      <c r="P32" s="112">
        <v>3000</v>
      </c>
      <c r="Q32" s="112"/>
      <c r="R32" s="112">
        <v>5000</v>
      </c>
      <c r="S32" s="116"/>
    </row>
    <row r="33" spans="1:19" x14ac:dyDescent="0.25">
      <c r="A33" s="87" t="s">
        <v>174</v>
      </c>
      <c r="B33" s="87"/>
      <c r="C33" s="87"/>
      <c r="D33" s="88">
        <v>70</v>
      </c>
      <c r="E33" s="88"/>
      <c r="F33" s="88"/>
      <c r="G33" s="99" t="s">
        <v>86</v>
      </c>
      <c r="H33" s="99"/>
      <c r="I33" s="99"/>
      <c r="J33" s="100" t="s">
        <v>159</v>
      </c>
      <c r="K33" s="100"/>
      <c r="L33" s="100" t="s">
        <v>158</v>
      </c>
      <c r="M33" s="100"/>
      <c r="N33" s="110" t="s">
        <v>126</v>
      </c>
      <c r="O33" s="109"/>
      <c r="P33" s="112">
        <v>1000</v>
      </c>
      <c r="Q33" s="112"/>
      <c r="R33" s="112">
        <v>3000</v>
      </c>
      <c r="S33" s="116"/>
    </row>
    <row r="34" spans="1:19" x14ac:dyDescent="0.25">
      <c r="A34" s="87"/>
      <c r="B34" s="87"/>
      <c r="C34" s="87"/>
      <c r="D34" s="88"/>
      <c r="E34" s="88"/>
      <c r="F34" s="88"/>
      <c r="G34" s="99"/>
      <c r="H34" s="99"/>
      <c r="I34" s="99"/>
      <c r="J34" s="100"/>
      <c r="K34" s="100"/>
      <c r="L34" s="100"/>
      <c r="M34" s="100"/>
      <c r="N34" s="110" t="s">
        <v>110</v>
      </c>
      <c r="O34" s="109"/>
      <c r="P34" s="112">
        <v>300</v>
      </c>
      <c r="Q34" s="112"/>
      <c r="R34" s="112">
        <v>1000</v>
      </c>
      <c r="S34" s="116"/>
    </row>
    <row r="35" spans="1:19" x14ac:dyDescent="0.25">
      <c r="A35" s="87" t="s">
        <v>175</v>
      </c>
      <c r="B35" s="87"/>
      <c r="C35" s="87"/>
      <c r="D35" s="88">
        <v>51</v>
      </c>
      <c r="E35" s="88"/>
      <c r="F35" s="88"/>
      <c r="G35" s="102" t="s">
        <v>5</v>
      </c>
      <c r="H35" s="102"/>
      <c r="I35" s="102"/>
      <c r="J35" s="107">
        <v>0.428701</v>
      </c>
      <c r="K35" s="107"/>
      <c r="L35" s="100" t="s">
        <v>161</v>
      </c>
      <c r="M35" s="100"/>
      <c r="N35" s="110" t="s">
        <v>112</v>
      </c>
      <c r="O35" s="109"/>
      <c r="P35" s="112">
        <v>50</v>
      </c>
      <c r="Q35" s="112"/>
      <c r="R35" s="112">
        <v>300</v>
      </c>
      <c r="S35" s="116"/>
    </row>
    <row r="36" spans="1:19" x14ac:dyDescent="0.25">
      <c r="A36" s="87"/>
      <c r="B36" s="87"/>
      <c r="C36" s="87"/>
      <c r="D36" s="88"/>
      <c r="E36" s="88"/>
      <c r="F36" s="88"/>
      <c r="G36" s="102"/>
      <c r="H36" s="102"/>
      <c r="I36" s="102"/>
      <c r="J36" s="107"/>
      <c r="K36" s="107"/>
      <c r="L36" s="100"/>
      <c r="M36" s="100"/>
      <c r="N36" s="117" t="s">
        <v>111</v>
      </c>
      <c r="O36" s="118"/>
      <c r="P36" s="119">
        <v>10</v>
      </c>
      <c r="Q36" s="119"/>
      <c r="R36" s="119">
        <v>50</v>
      </c>
      <c r="S36" s="120"/>
    </row>
    <row r="37" spans="1:19" x14ac:dyDescent="0.25">
      <c r="A37" s="87" t="s">
        <v>176</v>
      </c>
      <c r="B37" s="87"/>
      <c r="C37" s="87"/>
      <c r="D37" s="88">
        <v>23</v>
      </c>
      <c r="E37" s="88"/>
      <c r="F37" s="88"/>
      <c r="G37" s="102" t="s">
        <v>6</v>
      </c>
      <c r="H37" s="102"/>
      <c r="I37" s="102"/>
      <c r="J37" s="107">
        <v>0.20228266666666694</v>
      </c>
      <c r="K37" s="107"/>
      <c r="L37" s="100" t="s">
        <v>160</v>
      </c>
      <c r="M37" s="100"/>
      <c r="N37" s="129" t="s">
        <v>183</v>
      </c>
      <c r="O37" s="130"/>
      <c r="P37" s="130"/>
      <c r="Q37" s="130"/>
      <c r="R37" s="130"/>
      <c r="S37" s="131"/>
    </row>
    <row r="38" spans="1:19" x14ac:dyDescent="0.25">
      <c r="A38" s="87"/>
      <c r="B38" s="87"/>
      <c r="C38" s="87"/>
      <c r="D38" s="88"/>
      <c r="E38" s="88"/>
      <c r="F38" s="88"/>
      <c r="G38" s="102"/>
      <c r="H38" s="102"/>
      <c r="I38" s="102"/>
      <c r="J38" s="107"/>
      <c r="K38" s="107"/>
      <c r="L38" s="100"/>
      <c r="M38" s="100"/>
      <c r="N38" s="132"/>
      <c r="O38" s="128"/>
      <c r="P38" s="128"/>
      <c r="Q38" s="128"/>
      <c r="R38" s="128"/>
      <c r="S38" s="133"/>
    </row>
    <row r="39" spans="1:19" x14ac:dyDescent="0.25">
      <c r="A39" s="87" t="s">
        <v>177</v>
      </c>
      <c r="B39" s="87"/>
      <c r="C39" s="87"/>
      <c r="D39" s="88">
        <v>20</v>
      </c>
      <c r="E39" s="88"/>
      <c r="F39" s="88"/>
      <c r="G39" s="102" t="s">
        <v>156</v>
      </c>
      <c r="H39" s="102"/>
      <c r="I39" s="102"/>
      <c r="J39" s="107">
        <v>0.49813470000000004</v>
      </c>
      <c r="K39" s="107"/>
      <c r="L39" s="100" t="s">
        <v>160</v>
      </c>
      <c r="M39" s="100"/>
      <c r="O39" s="108"/>
    </row>
    <row r="40" spans="1:19" x14ac:dyDescent="0.25">
      <c r="A40" s="87"/>
      <c r="B40" s="87"/>
      <c r="C40" s="87"/>
      <c r="D40" s="88"/>
      <c r="E40" s="88"/>
      <c r="F40" s="88"/>
      <c r="G40" s="102"/>
      <c r="H40" s="102"/>
      <c r="I40" s="102"/>
      <c r="J40" s="107"/>
      <c r="K40" s="107"/>
      <c r="L40" s="100"/>
      <c r="M40" s="100"/>
    </row>
    <row r="41" spans="1:19" x14ac:dyDescent="0.25">
      <c r="A41" s="87" t="s">
        <v>178</v>
      </c>
      <c r="B41" s="87"/>
      <c r="C41" s="87"/>
      <c r="D41" s="88">
        <v>24</v>
      </c>
      <c r="E41" s="88"/>
      <c r="F41" s="88"/>
      <c r="G41" s="102" t="s">
        <v>157</v>
      </c>
      <c r="H41" s="102"/>
      <c r="I41" s="102"/>
      <c r="J41" s="107">
        <v>0.25964549999999986</v>
      </c>
      <c r="K41" s="107"/>
      <c r="L41" s="100" t="s">
        <v>160</v>
      </c>
      <c r="M41" s="100"/>
    </row>
    <row r="42" spans="1:19" x14ac:dyDescent="0.25">
      <c r="A42" s="87"/>
      <c r="B42" s="87"/>
      <c r="C42" s="87"/>
      <c r="D42" s="88"/>
      <c r="E42" s="88"/>
      <c r="F42" s="88"/>
      <c r="G42" s="102"/>
      <c r="H42" s="102"/>
      <c r="I42" s="102"/>
      <c r="J42" s="107"/>
      <c r="K42" s="107"/>
      <c r="L42" s="100"/>
      <c r="M42" s="100"/>
    </row>
    <row r="43" spans="1:19" x14ac:dyDescent="0.25">
      <c r="A43" s="87" t="s">
        <v>179</v>
      </c>
      <c r="B43" s="87"/>
      <c r="C43" s="87"/>
      <c r="D43" s="88">
        <v>23</v>
      </c>
      <c r="E43" s="88"/>
      <c r="F43" s="88"/>
    </row>
    <row r="44" spans="1:19" x14ac:dyDescent="0.25">
      <c r="A44" s="87"/>
      <c r="B44" s="87"/>
      <c r="C44" s="87"/>
      <c r="D44" s="88"/>
      <c r="E44" s="88"/>
      <c r="F44" s="88"/>
    </row>
    <row r="45" spans="1:19" x14ac:dyDescent="0.25">
      <c r="A45" s="87" t="s">
        <v>180</v>
      </c>
      <c r="B45" s="87"/>
      <c r="C45" s="87"/>
      <c r="D45" s="88">
        <v>12</v>
      </c>
      <c r="E45" s="88"/>
      <c r="F45" s="88"/>
    </row>
    <row r="46" spans="1:19" x14ac:dyDescent="0.25">
      <c r="A46" s="87"/>
      <c r="B46" s="87"/>
      <c r="C46" s="87"/>
      <c r="D46" s="88"/>
      <c r="E46" s="88"/>
      <c r="F46" s="88"/>
    </row>
    <row r="47" spans="1:19" x14ac:dyDescent="0.25">
      <c r="A47" s="87" t="s">
        <v>181</v>
      </c>
      <c r="B47" s="87"/>
      <c r="C47" s="87"/>
      <c r="D47" s="88">
        <v>6</v>
      </c>
      <c r="E47" s="88"/>
      <c r="F47" s="88"/>
    </row>
    <row r="48" spans="1:19" x14ac:dyDescent="0.25">
      <c r="A48" s="87"/>
      <c r="B48" s="87"/>
      <c r="C48" s="87"/>
      <c r="D48" s="88"/>
      <c r="E48" s="88"/>
      <c r="F48" s="88"/>
    </row>
    <row r="49" spans="1:6" x14ac:dyDescent="0.25">
      <c r="A49" s="87" t="s">
        <v>96</v>
      </c>
      <c r="B49" s="87"/>
      <c r="C49" s="87"/>
      <c r="D49" s="88">
        <v>4118</v>
      </c>
      <c r="E49" s="88"/>
      <c r="F49" s="88"/>
    </row>
    <row r="50" spans="1:6" x14ac:dyDescent="0.25">
      <c r="A50" s="87"/>
      <c r="B50" s="87"/>
      <c r="C50" s="87"/>
      <c r="D50" s="88"/>
      <c r="E50" s="88"/>
      <c r="F50" s="88"/>
    </row>
    <row r="51" spans="1:6" x14ac:dyDescent="0.25">
      <c r="A51" s="87" t="s">
        <v>170</v>
      </c>
      <c r="B51" s="87"/>
      <c r="C51" s="87"/>
      <c r="D51" s="88">
        <v>34</v>
      </c>
      <c r="E51" s="88"/>
      <c r="F51" s="88"/>
    </row>
    <row r="52" spans="1:6" x14ac:dyDescent="0.25">
      <c r="A52" s="87"/>
      <c r="B52" s="87"/>
      <c r="C52" s="87"/>
      <c r="D52" s="88"/>
      <c r="E52" s="88"/>
      <c r="F52" s="88"/>
    </row>
    <row r="53" spans="1:6" x14ac:dyDescent="0.25">
      <c r="A53" s="87" t="s">
        <v>61</v>
      </c>
      <c r="B53" s="87"/>
      <c r="C53" s="87"/>
      <c r="D53" s="88">
        <v>85</v>
      </c>
      <c r="E53" s="88"/>
      <c r="F53" s="88"/>
    </row>
    <row r="54" spans="1:6" x14ac:dyDescent="0.25">
      <c r="A54" s="87"/>
      <c r="B54" s="87"/>
      <c r="C54" s="87"/>
      <c r="D54" s="88"/>
      <c r="E54" s="88"/>
      <c r="F54" s="88"/>
    </row>
    <row r="55" spans="1:6" x14ac:dyDescent="0.25">
      <c r="A55" s="25"/>
      <c r="B55" s="25"/>
      <c r="C55" s="25"/>
    </row>
    <row r="56" spans="1:6" x14ac:dyDescent="0.25">
      <c r="A56" s="25"/>
      <c r="B56" s="25"/>
      <c r="C56" s="25"/>
    </row>
  </sheetData>
  <mergeCells count="128">
    <mergeCell ref="N37:S38"/>
    <mergeCell ref="N25:O25"/>
    <mergeCell ref="P25:Q25"/>
    <mergeCell ref="R25:S25"/>
    <mergeCell ref="N26:O26"/>
    <mergeCell ref="N27:O27"/>
    <mergeCell ref="P27:Q27"/>
    <mergeCell ref="P26:Q26"/>
    <mergeCell ref="R26:S26"/>
    <mergeCell ref="R27:S27"/>
    <mergeCell ref="N35:O35"/>
    <mergeCell ref="P35:Q35"/>
    <mergeCell ref="R35:S35"/>
    <mergeCell ref="N36:O36"/>
    <mergeCell ref="P36:Q36"/>
    <mergeCell ref="R36:S36"/>
    <mergeCell ref="N33:O33"/>
    <mergeCell ref="P33:Q33"/>
    <mergeCell ref="R33:S33"/>
    <mergeCell ref="N34:O34"/>
    <mergeCell ref="P34:Q34"/>
    <mergeCell ref="R34:S34"/>
    <mergeCell ref="N31:O31"/>
    <mergeCell ref="P31:Q31"/>
    <mergeCell ref="R31:S31"/>
    <mergeCell ref="N32:O32"/>
    <mergeCell ref="P32:Q32"/>
    <mergeCell ref="R32:S32"/>
    <mergeCell ref="R28:S28"/>
    <mergeCell ref="N29:O29"/>
    <mergeCell ref="P29:Q29"/>
    <mergeCell ref="R29:S29"/>
    <mergeCell ref="N30:O30"/>
    <mergeCell ref="P30:Q30"/>
    <mergeCell ref="R30:S30"/>
    <mergeCell ref="N28:O28"/>
    <mergeCell ref="P28:Q28"/>
    <mergeCell ref="N7:S20"/>
    <mergeCell ref="N21:S24"/>
    <mergeCell ref="L35:M36"/>
    <mergeCell ref="L37:M38"/>
    <mergeCell ref="L39:M40"/>
    <mergeCell ref="G31:M32"/>
    <mergeCell ref="J33:K34"/>
    <mergeCell ref="J35:K36"/>
    <mergeCell ref="J37:K38"/>
    <mergeCell ref="J39:K40"/>
    <mergeCell ref="J41:K42"/>
    <mergeCell ref="L41:M42"/>
    <mergeCell ref="G37:I38"/>
    <mergeCell ref="G39:I40"/>
    <mergeCell ref="G41:I42"/>
    <mergeCell ref="L19:M20"/>
    <mergeCell ref="G33:I34"/>
    <mergeCell ref="G35:I36"/>
    <mergeCell ref="L33:M34"/>
    <mergeCell ref="G21:M22"/>
    <mergeCell ref="G23:J24"/>
    <mergeCell ref="K23:M24"/>
    <mergeCell ref="G25:J26"/>
    <mergeCell ref="K25:M26"/>
    <mergeCell ref="G7:I10"/>
    <mergeCell ref="G27:M30"/>
    <mergeCell ref="G11:M12"/>
    <mergeCell ref="G17:I18"/>
    <mergeCell ref="G19:I20"/>
    <mergeCell ref="J17:K18"/>
    <mergeCell ref="J19:K20"/>
    <mergeCell ref="G15:I16"/>
    <mergeCell ref="J15:K16"/>
    <mergeCell ref="G13:I14"/>
    <mergeCell ref="J13:K14"/>
    <mergeCell ref="L13:M14"/>
    <mergeCell ref="L15:M16"/>
    <mergeCell ref="L17:M18"/>
    <mergeCell ref="N1:S6"/>
    <mergeCell ref="A19:C20"/>
    <mergeCell ref="A21:C22"/>
    <mergeCell ref="A9:C10"/>
    <mergeCell ref="A11:C12"/>
    <mergeCell ref="A13:C14"/>
    <mergeCell ref="D9:F10"/>
    <mergeCell ref="D11:F12"/>
    <mergeCell ref="D13:F14"/>
    <mergeCell ref="A1:M6"/>
    <mergeCell ref="J7:K8"/>
    <mergeCell ref="L7:M8"/>
    <mergeCell ref="A7:C8"/>
    <mergeCell ref="D7:F8"/>
    <mergeCell ref="J9:K10"/>
    <mergeCell ref="L9:M10"/>
    <mergeCell ref="D27:F28"/>
    <mergeCell ref="D29:F30"/>
    <mergeCell ref="A51:C52"/>
    <mergeCell ref="A53:C54"/>
    <mergeCell ref="A41:C42"/>
    <mergeCell ref="A43:C44"/>
    <mergeCell ref="A45:C46"/>
    <mergeCell ref="A47:C48"/>
    <mergeCell ref="A49:C50"/>
    <mergeCell ref="A27:C28"/>
    <mergeCell ref="A29:C30"/>
    <mergeCell ref="A31:C32"/>
    <mergeCell ref="A33:C34"/>
    <mergeCell ref="A35:C36"/>
    <mergeCell ref="A37:C38"/>
    <mergeCell ref="A39:C40"/>
    <mergeCell ref="A25:C26"/>
    <mergeCell ref="A15:C16"/>
    <mergeCell ref="D15:F16"/>
    <mergeCell ref="A17:F18"/>
    <mergeCell ref="D19:F20"/>
    <mergeCell ref="D21:F22"/>
    <mergeCell ref="D25:F26"/>
    <mergeCell ref="A23:C24"/>
    <mergeCell ref="D23:F24"/>
    <mergeCell ref="D53:F54"/>
    <mergeCell ref="D31:F32"/>
    <mergeCell ref="D33:F34"/>
    <mergeCell ref="D35:F36"/>
    <mergeCell ref="D37:F38"/>
    <mergeCell ref="D39:F40"/>
    <mergeCell ref="D41:F42"/>
    <mergeCell ref="D43:F44"/>
    <mergeCell ref="D45:F46"/>
    <mergeCell ref="D47:F48"/>
    <mergeCell ref="D49:F50"/>
    <mergeCell ref="D51:F5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generateNewTown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Data!$D$49:$D$59</xm:f>
          </x14:formula1>
          <xm:sqref>L7:M8</xm:sqref>
        </x14:dataValidation>
        <x14:dataValidation type="list" allowBlank="1" showInputMessage="1" showErrorMessage="1">
          <x14:formula1>
            <xm:f>Data!$D$64:$D$70</xm:f>
          </x14:formula1>
          <xm:sqref>L9:M10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Z70"/>
  <sheetViews>
    <sheetView tabSelected="1" topLeftCell="C1" workbookViewId="0">
      <selection activeCell="M11" sqref="M11"/>
    </sheetView>
  </sheetViews>
  <sheetFormatPr defaultRowHeight="15" x14ac:dyDescent="0.25"/>
  <cols>
    <col min="3" max="3" width="17.140625" bestFit="1" customWidth="1"/>
    <col min="4" max="4" width="13.7109375" customWidth="1"/>
    <col min="5" max="5" width="11.85546875" customWidth="1"/>
    <col min="6" max="6" width="12.85546875" bestFit="1" customWidth="1"/>
    <col min="8" max="8" width="15.140625" bestFit="1" customWidth="1"/>
    <col min="9" max="9" width="18.140625" bestFit="1" customWidth="1"/>
    <col min="10" max="10" width="12.42578125" bestFit="1" customWidth="1"/>
    <col min="11" max="12" width="15.5703125" bestFit="1" customWidth="1"/>
    <col min="13" max="14" width="15.5703125" customWidth="1"/>
    <col min="15" max="15" width="19.42578125" bestFit="1" customWidth="1"/>
    <col min="16" max="16" width="22.140625" customWidth="1"/>
    <col min="17" max="17" width="14" customWidth="1"/>
    <col min="18" max="18" width="15.85546875" bestFit="1" customWidth="1"/>
    <col min="19" max="19" width="17.85546875" bestFit="1" customWidth="1"/>
    <col min="20" max="20" width="16" bestFit="1" customWidth="1"/>
    <col min="21" max="23" width="15.5703125" bestFit="1" customWidth="1"/>
    <col min="24" max="24" width="10.7109375" bestFit="1" customWidth="1"/>
  </cols>
  <sheetData>
    <row r="2" spans="3:26" x14ac:dyDescent="0.25">
      <c r="C2" s="82" t="s">
        <v>143</v>
      </c>
      <c r="D2" s="83"/>
      <c r="E2" s="83"/>
      <c r="F2" s="83"/>
      <c r="G2" s="83"/>
      <c r="H2" s="2"/>
      <c r="I2" s="2"/>
      <c r="J2" s="2"/>
      <c r="K2" s="2"/>
      <c r="L2" s="2"/>
      <c r="M2" s="2"/>
      <c r="N2" s="3"/>
    </row>
    <row r="3" spans="3:26" ht="15.75" thickBot="1" x14ac:dyDescent="0.3">
      <c r="C3" s="84"/>
      <c r="D3" s="85"/>
      <c r="E3" s="85"/>
      <c r="F3" s="85"/>
      <c r="G3" s="85"/>
      <c r="H3" s="5"/>
      <c r="I3" s="5"/>
      <c r="J3" s="5"/>
      <c r="K3" s="5"/>
      <c r="L3" s="5"/>
      <c r="M3" s="5"/>
      <c r="N3" s="7"/>
    </row>
    <row r="4" spans="3:26" x14ac:dyDescent="0.25">
      <c r="C4" s="4"/>
      <c r="D4" s="74" t="s">
        <v>71</v>
      </c>
      <c r="E4" s="76"/>
      <c r="F4" s="5"/>
      <c r="G4" s="5"/>
      <c r="H4" s="74" t="s">
        <v>72</v>
      </c>
      <c r="I4" s="75"/>
      <c r="J4" s="75"/>
      <c r="K4" s="75"/>
      <c r="L4" s="74" t="s">
        <v>69</v>
      </c>
      <c r="M4" s="75"/>
      <c r="N4" s="76"/>
      <c r="O4" s="18"/>
      <c r="Q4" s="74" t="s">
        <v>70</v>
      </c>
      <c r="R4" s="75"/>
      <c r="S4" s="75"/>
      <c r="T4" s="76"/>
      <c r="W4" s="35" t="s">
        <v>40</v>
      </c>
      <c r="X4" s="36" t="s">
        <v>64</v>
      </c>
      <c r="Y4" s="36" t="s">
        <v>62</v>
      </c>
      <c r="Z4" s="37" t="s">
        <v>63</v>
      </c>
    </row>
    <row r="5" spans="3:26" x14ac:dyDescent="0.25">
      <c r="C5" s="4"/>
      <c r="D5" s="1"/>
      <c r="E5" s="3" t="s">
        <v>3</v>
      </c>
      <c r="F5" s="5"/>
      <c r="G5" s="5"/>
      <c r="H5" s="1" t="s">
        <v>8</v>
      </c>
      <c r="I5" s="2" t="s">
        <v>10</v>
      </c>
      <c r="J5" s="22" t="s">
        <v>97</v>
      </c>
      <c r="K5" s="2" t="s">
        <v>11</v>
      </c>
      <c r="L5" s="4" t="s">
        <v>10</v>
      </c>
      <c r="M5" s="22" t="s">
        <v>97</v>
      </c>
      <c r="N5" s="7" t="s">
        <v>11</v>
      </c>
      <c r="Q5" s="1" t="s">
        <v>65</v>
      </c>
      <c r="R5" s="2" t="s">
        <v>67</v>
      </c>
      <c r="S5" s="2" t="s">
        <v>68</v>
      </c>
      <c r="T5" s="3" t="s">
        <v>66</v>
      </c>
      <c r="W5" s="38" t="s">
        <v>84</v>
      </c>
      <c r="X5" s="5"/>
      <c r="Y5" s="5">
        <f>ROUNDUP(E10/900,0)</f>
        <v>11</v>
      </c>
      <c r="Z5" s="39">
        <f>ROUNDUP(E10/150,0)</f>
        <v>62</v>
      </c>
    </row>
    <row r="6" spans="3:26" x14ac:dyDescent="0.25">
      <c r="C6" s="4"/>
      <c r="D6" s="4" t="s">
        <v>0</v>
      </c>
      <c r="E6" s="7">
        <v>4565</v>
      </c>
      <c r="F6" s="5"/>
      <c r="G6" s="5"/>
      <c r="H6" s="4" t="s">
        <v>5</v>
      </c>
      <c r="I6" s="69">
        <v>0.7</v>
      </c>
      <c r="J6" s="69">
        <v>0.6</v>
      </c>
      <c r="K6" s="69">
        <v>0.4</v>
      </c>
      <c r="L6" s="70">
        <f>E19*I6</f>
        <v>2100</v>
      </c>
      <c r="M6" s="58">
        <f>E20*J6</f>
        <v>1920</v>
      </c>
      <c r="N6" s="66">
        <f>E21*K6</f>
        <v>1400</v>
      </c>
      <c r="Q6" s="4" t="s">
        <v>10</v>
      </c>
      <c r="R6" s="58">
        <v>3.4700000000000002E-2</v>
      </c>
      <c r="S6" s="58">
        <v>1.2500000000000001E-2</v>
      </c>
      <c r="T6" s="7">
        <f>ROUNDUP((R6-S6)*E6,0)</f>
        <v>102</v>
      </c>
      <c r="W6" s="38" t="s">
        <v>83</v>
      </c>
      <c r="X6" s="5"/>
      <c r="Y6" s="5">
        <f>ROUNDUP(E10/700,0)</f>
        <v>14</v>
      </c>
      <c r="Z6" s="39">
        <f>ROUNDUP(E10/100,0)</f>
        <v>93</v>
      </c>
    </row>
    <row r="7" spans="3:26" x14ac:dyDescent="0.25">
      <c r="C7" s="4"/>
      <c r="D7" s="4" t="s">
        <v>98</v>
      </c>
      <c r="E7" s="7">
        <v>3218</v>
      </c>
      <c r="F7" s="5"/>
      <c r="G7" s="5"/>
      <c r="H7" s="4" t="s">
        <v>6</v>
      </c>
      <c r="I7" s="69">
        <v>0.25</v>
      </c>
      <c r="J7" s="69">
        <v>0.3</v>
      </c>
      <c r="K7" s="69">
        <v>0.3</v>
      </c>
      <c r="L7" s="70">
        <f>E19*I7</f>
        <v>750</v>
      </c>
      <c r="M7" s="58">
        <f>E20*J7</f>
        <v>960</v>
      </c>
      <c r="N7" s="66">
        <f>E21*K7</f>
        <v>1050</v>
      </c>
      <c r="Q7" s="4" t="s">
        <v>97</v>
      </c>
      <c r="R7" s="58">
        <v>2.98E-2</v>
      </c>
      <c r="S7" s="58">
        <v>1.03E-2</v>
      </c>
      <c r="T7" s="7">
        <f>ROUNDUP((R7-S7)*E7,0)</f>
        <v>63</v>
      </c>
      <c r="W7" s="38" t="s">
        <v>82</v>
      </c>
      <c r="X7" s="5"/>
      <c r="Y7" s="5">
        <f>ROUNDDOWN(E6/8000,0)+ROUNDDOWN((E8+E7)/3000,0)</f>
        <v>1</v>
      </c>
      <c r="Z7" s="39">
        <f>ROUNDDOWN(E6/2500,0)+ROUNDDOWN((E8+E7)/500,0)</f>
        <v>10</v>
      </c>
    </row>
    <row r="8" spans="3:26" x14ac:dyDescent="0.25">
      <c r="C8" s="4"/>
      <c r="D8" s="4" t="s">
        <v>1</v>
      </c>
      <c r="E8" s="7">
        <v>1372</v>
      </c>
      <c r="F8" s="5"/>
      <c r="G8" s="5"/>
      <c r="H8" s="4" t="s">
        <v>9</v>
      </c>
      <c r="I8" s="69">
        <v>0.05</v>
      </c>
      <c r="J8" s="69">
        <v>0.1</v>
      </c>
      <c r="K8" s="69">
        <v>0.3</v>
      </c>
      <c r="L8" s="70">
        <f>E19*I8</f>
        <v>150</v>
      </c>
      <c r="M8" s="58">
        <f>E20*J8</f>
        <v>320</v>
      </c>
      <c r="N8" s="66">
        <f>E21*K8</f>
        <v>1050</v>
      </c>
      <c r="Q8" s="8" t="s">
        <v>11</v>
      </c>
      <c r="R8" s="68">
        <v>2.46E-2</v>
      </c>
      <c r="S8" s="68">
        <v>9.8499999999999994E-3</v>
      </c>
      <c r="T8" s="11">
        <f>ROUNDUP((R8-S8)*E8,0)</f>
        <v>21</v>
      </c>
      <c r="W8" s="38" t="s">
        <v>41</v>
      </c>
      <c r="X8" s="5">
        <f>V58+V59+Q20+W64+W65</f>
        <v>417</v>
      </c>
      <c r="Y8" s="5">
        <f>ROUNDUP(X8*1.2,0)</f>
        <v>501</v>
      </c>
      <c r="Z8" s="39">
        <f>ROUNDUP(X8*1.8,0)</f>
        <v>751</v>
      </c>
    </row>
    <row r="9" spans="3:26" x14ac:dyDescent="0.25">
      <c r="C9" s="4"/>
      <c r="D9" s="27" t="s">
        <v>124</v>
      </c>
      <c r="E9" s="7">
        <v>57</v>
      </c>
      <c r="F9" s="5"/>
      <c r="G9" s="5"/>
      <c r="H9" s="8" t="s">
        <v>2</v>
      </c>
      <c r="I9" s="71">
        <f t="shared" ref="I9:N9" si="0">SUM(I6:I8)</f>
        <v>1</v>
      </c>
      <c r="J9" s="71">
        <f t="shared" si="0"/>
        <v>0.99999999999999989</v>
      </c>
      <c r="K9" s="71">
        <f t="shared" si="0"/>
        <v>1</v>
      </c>
      <c r="L9" s="72">
        <f t="shared" si="0"/>
        <v>3000</v>
      </c>
      <c r="M9" s="68">
        <f t="shared" si="0"/>
        <v>3200</v>
      </c>
      <c r="N9" s="67">
        <f t="shared" si="0"/>
        <v>3500</v>
      </c>
      <c r="W9" s="38" t="s">
        <v>42</v>
      </c>
      <c r="X9" s="5"/>
      <c r="Y9" s="5">
        <f>ROUNDUP(J32/200,0)</f>
        <v>10</v>
      </c>
      <c r="Z9" s="39">
        <f>3*Y9</f>
        <v>30</v>
      </c>
    </row>
    <row r="10" spans="3:26" x14ac:dyDescent="0.25">
      <c r="C10" s="4"/>
      <c r="D10" s="8" t="s">
        <v>2</v>
      </c>
      <c r="E10" s="11">
        <f>SUM(E6:E9)</f>
        <v>9212</v>
      </c>
      <c r="F10" s="5"/>
      <c r="G10" s="5"/>
      <c r="H10" s="5"/>
      <c r="I10" s="5"/>
      <c r="J10" s="5"/>
      <c r="K10" s="5"/>
      <c r="L10" s="5"/>
      <c r="M10" s="5"/>
      <c r="N10" s="7"/>
      <c r="P10" s="74" t="s">
        <v>29</v>
      </c>
      <c r="Q10" s="75"/>
      <c r="R10" s="75"/>
      <c r="S10" s="75"/>
      <c r="T10" s="76"/>
      <c r="W10" s="38" t="s">
        <v>185</v>
      </c>
      <c r="X10" s="5"/>
      <c r="Y10" s="5">
        <f>ROUND(E9/150,0)</f>
        <v>0</v>
      </c>
      <c r="Z10" s="39">
        <f>ROUNDUP(E9/75,0)</f>
        <v>1</v>
      </c>
    </row>
    <row r="11" spans="3:26" x14ac:dyDescent="0.25">
      <c r="C11" s="4"/>
      <c r="D11" s="5"/>
      <c r="E11" s="5"/>
      <c r="F11" s="5"/>
      <c r="G11" s="5"/>
      <c r="H11" s="74" t="s">
        <v>77</v>
      </c>
      <c r="I11" s="75"/>
      <c r="J11" s="75"/>
      <c r="K11" s="75"/>
      <c r="L11" s="76"/>
      <c r="M11" s="24"/>
      <c r="N11" s="29"/>
      <c r="P11" s="1" t="s">
        <v>29</v>
      </c>
      <c r="Q11" s="2" t="s">
        <v>166</v>
      </c>
      <c r="R11" s="2" t="s">
        <v>167</v>
      </c>
      <c r="S11" s="2" t="s">
        <v>34</v>
      </c>
      <c r="T11" s="3" t="s">
        <v>167</v>
      </c>
      <c r="W11" s="38" t="s">
        <v>56</v>
      </c>
      <c r="X11" s="5"/>
      <c r="Y11" s="5">
        <f>ROUNDUP((S13/365)/2,0)</f>
        <v>101</v>
      </c>
      <c r="Z11" s="39">
        <f>Y11*3</f>
        <v>303</v>
      </c>
    </row>
    <row r="12" spans="3:26" x14ac:dyDescent="0.25">
      <c r="C12" s="4"/>
      <c r="D12" s="74" t="s">
        <v>73</v>
      </c>
      <c r="E12" s="76"/>
      <c r="F12" s="5"/>
      <c r="G12" s="5"/>
      <c r="H12" s="19" t="s">
        <v>86</v>
      </c>
      <c r="I12" s="20" t="s">
        <v>91</v>
      </c>
      <c r="J12" s="20" t="s">
        <v>90</v>
      </c>
      <c r="K12" s="2" t="s">
        <v>14</v>
      </c>
      <c r="L12" s="3" t="s">
        <v>39</v>
      </c>
      <c r="M12" s="5"/>
      <c r="N12" s="7"/>
      <c r="P12" s="4" t="s">
        <v>30</v>
      </c>
      <c r="Q12" s="58">
        <v>4</v>
      </c>
      <c r="R12" s="5" t="s">
        <v>32</v>
      </c>
      <c r="S12" s="6">
        <f>(U64*I43)*Q12</f>
        <v>2449</v>
      </c>
      <c r="T12" s="7" t="s">
        <v>32</v>
      </c>
      <c r="W12" s="38" t="s">
        <v>43</v>
      </c>
      <c r="X12" s="5"/>
      <c r="Y12" s="5">
        <f>ROUNDUP((S14/2),0)</f>
        <v>26</v>
      </c>
      <c r="Z12" s="39">
        <f>Y12*3</f>
        <v>78</v>
      </c>
    </row>
    <row r="13" spans="3:26" x14ac:dyDescent="0.25">
      <c r="C13" s="4"/>
      <c r="D13" s="1" t="s">
        <v>4</v>
      </c>
      <c r="E13" s="3" t="s">
        <v>7</v>
      </c>
      <c r="F13" s="5"/>
      <c r="G13" s="5"/>
      <c r="H13" s="4" t="s">
        <v>5</v>
      </c>
      <c r="I13" s="5">
        <f>((E6*L6)/E14)+((E8*N6)/E14)+((E7*M6)/E14)</f>
        <v>442.1465</v>
      </c>
      <c r="J13" s="31">
        <f>ROUNDUP(I13*2,0)</f>
        <v>885</v>
      </c>
      <c r="K13" s="31">
        <f>ROUNDUP((J13/(H25*K25))*2,0)</f>
        <v>222</v>
      </c>
      <c r="L13" s="12">
        <f>(K13/2)*4</f>
        <v>444</v>
      </c>
      <c r="M13" s="23"/>
      <c r="N13" s="12"/>
      <c r="P13" s="4" t="s">
        <v>31</v>
      </c>
      <c r="Q13" s="58">
        <v>8</v>
      </c>
      <c r="R13" s="5" t="s">
        <v>33</v>
      </c>
      <c r="S13" s="6">
        <f>U65*Q13</f>
        <v>73304</v>
      </c>
      <c r="T13" s="7" t="s">
        <v>33</v>
      </c>
      <c r="W13" s="38" t="s">
        <v>44</v>
      </c>
      <c r="X13" s="5"/>
      <c r="Y13" s="5">
        <f>ROUNDUP(X8/25,0)</f>
        <v>17</v>
      </c>
      <c r="Z13" s="39">
        <f>Y13*3</f>
        <v>51</v>
      </c>
    </row>
    <row r="14" spans="3:26" x14ac:dyDescent="0.25">
      <c r="C14" s="4"/>
      <c r="D14" s="4" t="s">
        <v>5</v>
      </c>
      <c r="E14" s="64">
        <v>40000</v>
      </c>
      <c r="F14" s="5"/>
      <c r="G14" s="5"/>
      <c r="H14" s="8" t="s">
        <v>6</v>
      </c>
      <c r="I14" s="9">
        <f>((E6*L7)/E15)+((E8*N7)/E15)+((E7*M7)/E15)</f>
        <v>176.74733333333333</v>
      </c>
      <c r="J14" s="32">
        <f>ROUNDUP(I14*2,0)</f>
        <v>354</v>
      </c>
      <c r="K14" s="32">
        <f>ROUNDUP((J14/(H25*K25))*2,0)</f>
        <v>89</v>
      </c>
      <c r="L14" s="13">
        <f>(K14/2)*4</f>
        <v>178</v>
      </c>
      <c r="M14" s="23"/>
      <c r="N14" s="12"/>
      <c r="P14" s="8" t="s">
        <v>45</v>
      </c>
      <c r="Q14" s="68">
        <v>30</v>
      </c>
      <c r="R14" s="9" t="s">
        <v>17</v>
      </c>
      <c r="S14" s="10">
        <f>ROUNDDOWN(Q14/(E25/Q61),1)</f>
        <v>50.3</v>
      </c>
      <c r="T14" s="11" t="s">
        <v>46</v>
      </c>
      <c r="W14" s="38" t="s">
        <v>54</v>
      </c>
      <c r="X14" s="5"/>
      <c r="Y14" s="5">
        <f>ROUNDUP(E6*(E6/(2*E10))*0.02,0)</f>
        <v>23</v>
      </c>
      <c r="Z14" s="39">
        <f>ROUNDUP(E6*(E6/(2*E10))*0.05,0)</f>
        <v>57</v>
      </c>
    </row>
    <row r="15" spans="3:26" x14ac:dyDescent="0.25">
      <c r="C15" s="4"/>
      <c r="D15" s="8" t="s">
        <v>6</v>
      </c>
      <c r="E15" s="65">
        <v>45000</v>
      </c>
      <c r="F15" s="5"/>
      <c r="G15" s="5"/>
      <c r="H15" s="5"/>
      <c r="I15" s="5"/>
      <c r="J15" s="5"/>
      <c r="K15" s="5"/>
      <c r="L15" s="5"/>
      <c r="M15" s="5"/>
      <c r="N15" s="7"/>
      <c r="W15" s="38" t="s">
        <v>55</v>
      </c>
      <c r="X15" s="5"/>
      <c r="Y15" s="5">
        <f>ROUNDUP((T6/20)+(T7/15)+(T8/10),0)</f>
        <v>12</v>
      </c>
      <c r="Z15" s="39">
        <f>ROUNDUP((T6/10)+(T7/7)+(T8/5),0)</f>
        <v>24</v>
      </c>
    </row>
    <row r="16" spans="3:26" x14ac:dyDescent="0.25">
      <c r="C16" s="4"/>
      <c r="D16" s="5"/>
      <c r="E16" s="5"/>
      <c r="F16" s="5"/>
      <c r="G16" s="5"/>
      <c r="H16" s="74" t="s">
        <v>78</v>
      </c>
      <c r="I16" s="75"/>
      <c r="J16" s="75"/>
      <c r="K16" s="76"/>
      <c r="L16" s="5"/>
      <c r="M16" s="5"/>
      <c r="N16" s="7"/>
      <c r="P16" s="74" t="s">
        <v>81</v>
      </c>
      <c r="Q16" s="75"/>
      <c r="R16" s="75"/>
      <c r="S16" s="75"/>
      <c r="T16" s="76"/>
      <c r="W16" s="38" t="s">
        <v>57</v>
      </c>
      <c r="X16" s="5"/>
      <c r="Y16" s="5">
        <f>ROUNDUP((T6/20)+(T7/15)+(T8/10),0)</f>
        <v>12</v>
      </c>
      <c r="Z16" s="39">
        <f>ROUNDUP((T6/10)+(T7/7)+(T8/5),0)</f>
        <v>24</v>
      </c>
    </row>
    <row r="17" spans="3:26" x14ac:dyDescent="0.25">
      <c r="C17" s="4"/>
      <c r="D17" s="74" t="s">
        <v>74</v>
      </c>
      <c r="E17" s="76"/>
      <c r="F17" s="5"/>
      <c r="G17" s="5"/>
      <c r="H17" s="1"/>
      <c r="I17" s="2" t="s">
        <v>24</v>
      </c>
      <c r="J17" s="2" t="s">
        <v>25</v>
      </c>
      <c r="K17" s="3" t="s">
        <v>14</v>
      </c>
      <c r="L17" s="5"/>
      <c r="M17" s="5"/>
      <c r="N17" s="7"/>
      <c r="P17" s="96" t="s">
        <v>47</v>
      </c>
      <c r="Q17" s="97"/>
      <c r="R17" s="97"/>
      <c r="S17" s="97"/>
      <c r="T17" s="98"/>
      <c r="W17" s="38" t="s">
        <v>59</v>
      </c>
      <c r="X17" s="5"/>
      <c r="Y17" s="5">
        <f>ROUNDDOWN((E6/800)+(E7/300)+(E8/300),0)</f>
        <v>21</v>
      </c>
      <c r="Z17" s="39">
        <f>ROUNDUP((E6/500)+(E7/150)+(E8/150),0)</f>
        <v>40</v>
      </c>
    </row>
    <row r="18" spans="3:26" x14ac:dyDescent="0.25">
      <c r="C18" s="4"/>
      <c r="D18" s="1" t="s">
        <v>8</v>
      </c>
      <c r="E18" s="3" t="s">
        <v>12</v>
      </c>
      <c r="F18" s="5"/>
      <c r="G18" s="5"/>
      <c r="H18" s="4" t="s">
        <v>15</v>
      </c>
      <c r="I18" s="5">
        <f>ROUNDUP((E37/(E25/(J32*I36))),0)</f>
        <v>1787</v>
      </c>
      <c r="J18" s="31">
        <f>ROUNDUP(I18/2,0)</f>
        <v>894</v>
      </c>
      <c r="K18" s="33">
        <f>ROUNDUP(I18/100,0)</f>
        <v>18</v>
      </c>
      <c r="L18" s="5"/>
      <c r="M18" s="5"/>
      <c r="N18" s="7"/>
      <c r="P18" s="4" t="s">
        <v>48</v>
      </c>
      <c r="Q18" s="58">
        <v>45</v>
      </c>
      <c r="R18" s="5" t="s">
        <v>49</v>
      </c>
      <c r="S18" s="5">
        <f>45/60</f>
        <v>0.75</v>
      </c>
      <c r="T18" s="7" t="s">
        <v>50</v>
      </c>
      <c r="W18" s="38" t="s">
        <v>53</v>
      </c>
      <c r="X18" s="5"/>
      <c r="Y18" s="5">
        <f>ROUNDUP(S12/300,0)</f>
        <v>9</v>
      </c>
      <c r="Z18" s="39">
        <f>Y18*2</f>
        <v>18</v>
      </c>
    </row>
    <row r="19" spans="3:26" x14ac:dyDescent="0.25">
      <c r="C19" s="4"/>
      <c r="D19" s="4" t="s">
        <v>10</v>
      </c>
      <c r="E19" s="66">
        <v>3000</v>
      </c>
      <c r="F19" s="5"/>
      <c r="G19" s="5"/>
      <c r="H19" s="8" t="s">
        <v>23</v>
      </c>
      <c r="I19" s="9">
        <f>ROUNDUP((E38/(E26/(J32*I37))),0)</f>
        <v>6319</v>
      </c>
      <c r="J19" s="32">
        <f>ROUNDUP(I19/15,0)</f>
        <v>422</v>
      </c>
      <c r="K19" s="34">
        <f>ROUNDUP(I19/100,0)</f>
        <v>64</v>
      </c>
      <c r="L19" s="5"/>
      <c r="M19" s="5"/>
      <c r="N19" s="7"/>
      <c r="P19" s="4" t="s">
        <v>51</v>
      </c>
      <c r="Q19" s="58">
        <v>4</v>
      </c>
      <c r="R19" s="5" t="s">
        <v>50</v>
      </c>
      <c r="S19" s="5"/>
      <c r="T19" s="7"/>
      <c r="W19" s="38" t="s">
        <v>58</v>
      </c>
      <c r="X19" s="5">
        <v>0</v>
      </c>
      <c r="Y19" s="5">
        <f>ROUNDDOWN(SUM(E7:E8)/1500,0)</f>
        <v>3</v>
      </c>
      <c r="Z19" s="39">
        <f>ROUNDUP(SUM(E7:E8)/500,0)</f>
        <v>10</v>
      </c>
    </row>
    <row r="20" spans="3:26" x14ac:dyDescent="0.25">
      <c r="C20" s="4"/>
      <c r="D20" s="22" t="s">
        <v>97</v>
      </c>
      <c r="E20" s="58">
        <v>3200</v>
      </c>
      <c r="F20" s="5"/>
      <c r="G20" s="5"/>
      <c r="H20" s="5"/>
      <c r="I20" s="5"/>
      <c r="J20" s="5"/>
      <c r="K20" s="5"/>
      <c r="L20" s="5"/>
      <c r="M20" s="5"/>
      <c r="N20" s="7"/>
      <c r="P20" s="8" t="s">
        <v>52</v>
      </c>
      <c r="Q20" s="32">
        <f>ROUNDUP(((J43*S18)/Q19),0)</f>
        <v>84</v>
      </c>
      <c r="R20" s="9"/>
      <c r="S20" s="9"/>
      <c r="T20" s="11"/>
      <c r="W20" s="38" t="s">
        <v>96</v>
      </c>
      <c r="X20" s="5"/>
      <c r="Y20" s="5">
        <f>ROUNDUP((R33*1)+(R34*3),0)</f>
        <v>1711</v>
      </c>
      <c r="Z20" s="39">
        <f>ROUNDUP((R33*3)+(R34*7),0)</f>
        <v>4385</v>
      </c>
    </row>
    <row r="21" spans="3:26" x14ac:dyDescent="0.25">
      <c r="C21" s="4"/>
      <c r="D21" s="8" t="s">
        <v>11</v>
      </c>
      <c r="E21" s="67">
        <v>3500</v>
      </c>
      <c r="F21" s="5"/>
      <c r="G21" s="5"/>
      <c r="H21" s="5"/>
      <c r="I21" s="5"/>
      <c r="J21" s="5"/>
      <c r="K21" s="5"/>
      <c r="L21" s="5"/>
      <c r="M21" s="5"/>
      <c r="N21" s="7"/>
      <c r="W21" s="38" t="s">
        <v>60</v>
      </c>
      <c r="X21" s="5"/>
      <c r="Y21" s="5">
        <f>ROUNDUP((E6/1000)+(E7/200)+(E8/150),0)</f>
        <v>30</v>
      </c>
      <c r="Z21" s="39">
        <f>ROUNDUP((E6/300)+(E8/35),0)</f>
        <v>55</v>
      </c>
    </row>
    <row r="22" spans="3:26" ht="15.75" thickBot="1" x14ac:dyDescent="0.3">
      <c r="C22" s="4"/>
      <c r="D22" s="5"/>
      <c r="E22" s="5"/>
      <c r="F22" s="5"/>
      <c r="G22" s="5"/>
      <c r="H22" s="74" t="s">
        <v>13</v>
      </c>
      <c r="I22" s="75"/>
      <c r="J22" s="76"/>
      <c r="K22" s="5"/>
      <c r="L22" s="5"/>
      <c r="M22" s="5"/>
      <c r="N22" s="7"/>
      <c r="S22" s="26"/>
      <c r="W22" s="40" t="s">
        <v>61</v>
      </c>
      <c r="X22" s="41"/>
      <c r="Y22" s="41">
        <f>ROUNDUP(E10/200,0)</f>
        <v>47</v>
      </c>
      <c r="Z22" s="42">
        <f>ROUNDUP(E10/100,0)</f>
        <v>93</v>
      </c>
    </row>
    <row r="23" spans="3:26" x14ac:dyDescent="0.25">
      <c r="C23" s="4"/>
      <c r="D23" s="74" t="s">
        <v>186</v>
      </c>
      <c r="E23" s="75"/>
      <c r="F23" s="76"/>
      <c r="G23" s="5"/>
      <c r="H23" s="91" t="s">
        <v>79</v>
      </c>
      <c r="I23" s="92"/>
      <c r="J23" s="93"/>
      <c r="K23" s="96" t="s">
        <v>168</v>
      </c>
      <c r="L23" s="98"/>
      <c r="M23" s="5"/>
      <c r="N23" s="7"/>
      <c r="P23" s="137" t="s">
        <v>85</v>
      </c>
      <c r="Q23" s="138"/>
      <c r="R23" s="138"/>
      <c r="S23" s="138"/>
      <c r="T23" s="139"/>
      <c r="U23" s="30"/>
    </row>
    <row r="24" spans="3:26" x14ac:dyDescent="0.25">
      <c r="C24" s="4"/>
      <c r="D24" s="16" t="s">
        <v>9</v>
      </c>
      <c r="E24" s="2" t="s">
        <v>16</v>
      </c>
      <c r="F24" s="3"/>
      <c r="G24" s="5"/>
      <c r="H24" s="91"/>
      <c r="I24" s="92"/>
      <c r="J24" s="93"/>
      <c r="K24" s="110"/>
      <c r="L24" s="134"/>
      <c r="M24" s="5"/>
      <c r="N24" s="7"/>
      <c r="P24" s="1" t="s">
        <v>86</v>
      </c>
      <c r="Q24" s="2" t="s">
        <v>87</v>
      </c>
      <c r="R24" s="2" t="s">
        <v>148</v>
      </c>
      <c r="S24" s="2" t="s">
        <v>117</v>
      </c>
      <c r="T24" s="3" t="s">
        <v>138</v>
      </c>
    </row>
    <row r="25" spans="3:26" x14ac:dyDescent="0.25">
      <c r="C25" s="4"/>
      <c r="D25" s="4" t="s">
        <v>15</v>
      </c>
      <c r="E25" s="58">
        <v>1100</v>
      </c>
      <c r="F25" s="7" t="s">
        <v>17</v>
      </c>
      <c r="G25" s="5"/>
      <c r="H25" s="79">
        <v>0.4</v>
      </c>
      <c r="I25" s="80"/>
      <c r="J25" s="81"/>
      <c r="K25" s="72">
        <v>20</v>
      </c>
      <c r="L25" s="11" t="s">
        <v>169</v>
      </c>
      <c r="M25" s="5"/>
      <c r="N25" s="7"/>
      <c r="P25" s="4" t="s">
        <v>103</v>
      </c>
      <c r="Q25" s="5">
        <f>ROUNDUP(SUM(U32:U34)*4,0)</f>
        <v>175</v>
      </c>
      <c r="R25" s="5">
        <f>Q25/100</f>
        <v>1.75</v>
      </c>
      <c r="S25" s="45">
        <f>SQRT((Q25*10000))</f>
        <v>1322.8756555322952</v>
      </c>
      <c r="T25" s="7">
        <f>ROUNDUP(SQRT((Q25*10000)/2*PI()),0)</f>
        <v>1658</v>
      </c>
    </row>
    <row r="26" spans="3:26" x14ac:dyDescent="0.25">
      <c r="C26" s="4"/>
      <c r="D26" s="8" t="s">
        <v>19</v>
      </c>
      <c r="E26" s="68">
        <v>100</v>
      </c>
      <c r="F26" s="11" t="s">
        <v>17</v>
      </c>
      <c r="G26" s="5"/>
      <c r="H26" s="5"/>
      <c r="I26" s="5"/>
      <c r="J26" s="5"/>
      <c r="K26" s="5"/>
      <c r="L26" s="5"/>
      <c r="M26" s="5"/>
      <c r="N26" s="7"/>
      <c r="P26" s="4" t="s">
        <v>89</v>
      </c>
      <c r="Q26" s="5">
        <f>ROUNDUP(U58+U59+U64+U65+U66,0)</f>
        <v>12814</v>
      </c>
      <c r="R26" s="5">
        <f>Q26/100</f>
        <v>128.13999999999999</v>
      </c>
      <c r="S26" s="45">
        <f>SQRT((Q26*10000))</f>
        <v>11319.893992436502</v>
      </c>
      <c r="T26" s="7">
        <f>ROUNDUP(SQRT((Q26*10000)/2*PI()),0)</f>
        <v>14188</v>
      </c>
    </row>
    <row r="27" spans="3:26" x14ac:dyDescent="0.25">
      <c r="C27" s="4"/>
      <c r="D27" s="22"/>
      <c r="E27" s="22"/>
      <c r="F27" s="5"/>
      <c r="G27" s="5"/>
      <c r="H27" s="74" t="s">
        <v>22</v>
      </c>
      <c r="I27" s="75"/>
      <c r="J27" s="76"/>
      <c r="K27" s="5"/>
      <c r="L27" s="5"/>
      <c r="M27" s="5"/>
      <c r="N27" s="7"/>
      <c r="P27" s="8" t="s">
        <v>2</v>
      </c>
      <c r="Q27" s="10">
        <f>SUM(Q25:Q26)</f>
        <v>12989</v>
      </c>
      <c r="R27" s="10">
        <f>Q27/100</f>
        <v>129.88999999999999</v>
      </c>
      <c r="S27" s="136">
        <f>SQRT((Q27*10000))</f>
        <v>11396.929411029972</v>
      </c>
      <c r="T27" s="11">
        <f>ROUNDUP(SQRT((Q27*10000)/2*PI()),0)</f>
        <v>14284</v>
      </c>
    </row>
    <row r="28" spans="3:26" x14ac:dyDescent="0.25">
      <c r="C28" s="4"/>
      <c r="D28" s="22"/>
      <c r="E28" s="113"/>
      <c r="F28" s="22"/>
      <c r="G28" s="5"/>
      <c r="H28" s="4" t="s">
        <v>86</v>
      </c>
      <c r="I28" s="5" t="s">
        <v>145</v>
      </c>
      <c r="J28" s="7" t="s">
        <v>2</v>
      </c>
      <c r="K28" s="5"/>
      <c r="L28" s="5"/>
      <c r="M28" s="5"/>
      <c r="N28" s="7"/>
    </row>
    <row r="29" spans="3:26" x14ac:dyDescent="0.25">
      <c r="C29" s="4"/>
      <c r="G29" s="5"/>
      <c r="H29" s="4" t="s">
        <v>10</v>
      </c>
      <c r="I29" s="5">
        <f>ROUNDUP(L8/F32,1)</f>
        <v>0.1</v>
      </c>
      <c r="J29" s="33">
        <f>I29*E6</f>
        <v>456.5</v>
      </c>
      <c r="K29" s="5"/>
      <c r="L29" s="5"/>
      <c r="M29" s="5"/>
      <c r="N29" s="7"/>
    </row>
    <row r="30" spans="3:26" x14ac:dyDescent="0.25">
      <c r="C30" s="4"/>
      <c r="D30" s="74" t="s">
        <v>75</v>
      </c>
      <c r="E30" s="75"/>
      <c r="F30" s="76"/>
      <c r="G30" s="5"/>
      <c r="H30" s="4" t="s">
        <v>97</v>
      </c>
      <c r="I30" s="5">
        <f>ROUNDUP(M8/F33,1)</f>
        <v>0.2</v>
      </c>
      <c r="J30" s="33">
        <f>I30*E7</f>
        <v>643.6</v>
      </c>
      <c r="K30" s="5"/>
      <c r="L30" s="5"/>
      <c r="M30" s="5"/>
      <c r="N30" s="7"/>
      <c r="P30" s="74" t="s">
        <v>92</v>
      </c>
      <c r="Q30" s="75"/>
      <c r="R30" s="76"/>
      <c r="S30" s="74" t="s">
        <v>95</v>
      </c>
      <c r="T30" s="76"/>
      <c r="U30" s="3"/>
    </row>
    <row r="31" spans="3:26" x14ac:dyDescent="0.25">
      <c r="C31" s="4"/>
      <c r="D31" s="1" t="s">
        <v>18</v>
      </c>
      <c r="E31" s="2" t="s">
        <v>20</v>
      </c>
      <c r="F31" s="3" t="s">
        <v>21</v>
      </c>
      <c r="G31" s="5"/>
      <c r="H31" s="4" t="s">
        <v>11</v>
      </c>
      <c r="I31" s="5">
        <f>ROUNDUP(N8/F32,1)</f>
        <v>0.6</v>
      </c>
      <c r="J31" s="33">
        <f>I31*E8</f>
        <v>823.19999999999993</v>
      </c>
      <c r="K31" s="5"/>
      <c r="L31" s="5"/>
      <c r="M31" s="5"/>
      <c r="N31" s="7"/>
      <c r="P31" s="4" t="s">
        <v>86</v>
      </c>
      <c r="Q31" s="5" t="s">
        <v>93</v>
      </c>
      <c r="R31" s="7" t="s">
        <v>94</v>
      </c>
      <c r="S31" s="27" t="s">
        <v>100</v>
      </c>
      <c r="T31" s="22" t="s">
        <v>99</v>
      </c>
      <c r="U31" s="7"/>
    </row>
    <row r="32" spans="3:26" x14ac:dyDescent="0.25">
      <c r="C32" s="4"/>
      <c r="D32" s="4" t="s">
        <v>15</v>
      </c>
      <c r="E32" s="58">
        <v>180</v>
      </c>
      <c r="F32" s="66">
        <f>E32*10</f>
        <v>1800</v>
      </c>
      <c r="G32" s="5"/>
      <c r="H32" s="8" t="s">
        <v>2</v>
      </c>
      <c r="I32" s="9">
        <f>SUM(I29:I31)</f>
        <v>0.9</v>
      </c>
      <c r="J32" s="34">
        <f>SUM(J29:J31)</f>
        <v>1923.2999999999997</v>
      </c>
      <c r="K32" s="5"/>
      <c r="L32" s="5"/>
      <c r="M32" s="5"/>
      <c r="N32" s="7"/>
      <c r="P32" s="4" t="s">
        <v>10</v>
      </c>
      <c r="Q32" s="73">
        <v>6.45</v>
      </c>
      <c r="R32" s="7">
        <f>ROUNDUP(E6/Q32,0)</f>
        <v>708</v>
      </c>
      <c r="S32" s="70">
        <v>100</v>
      </c>
      <c r="T32" s="5">
        <f>S32/10000</f>
        <v>0.01</v>
      </c>
      <c r="U32" s="7">
        <f>T32*R32</f>
        <v>7.08</v>
      </c>
    </row>
    <row r="33" spans="3:21" x14ac:dyDescent="0.25">
      <c r="C33" s="4"/>
      <c r="D33" s="8" t="s">
        <v>19</v>
      </c>
      <c r="E33" s="68">
        <v>180</v>
      </c>
      <c r="F33" s="67">
        <f>E33*10</f>
        <v>1800</v>
      </c>
      <c r="G33" s="5"/>
      <c r="H33" s="5"/>
      <c r="I33" s="5"/>
      <c r="J33" s="5"/>
      <c r="K33" s="5"/>
      <c r="L33" s="5"/>
      <c r="M33" s="5"/>
      <c r="N33" s="7"/>
      <c r="P33" s="4" t="s">
        <v>97</v>
      </c>
      <c r="Q33" s="58">
        <v>5.47</v>
      </c>
      <c r="R33" s="7">
        <f>ROUNDUP(E7/Q33,0)</f>
        <v>589</v>
      </c>
      <c r="S33" s="70">
        <v>240</v>
      </c>
      <c r="T33" s="5">
        <f>S33/10000</f>
        <v>2.4E-2</v>
      </c>
      <c r="U33" s="7">
        <f t="shared" ref="U33:U34" si="1">T33*R33</f>
        <v>14.136000000000001</v>
      </c>
    </row>
    <row r="34" spans="3:21" x14ac:dyDescent="0.25">
      <c r="C34" s="4"/>
      <c r="D34" s="5"/>
      <c r="E34" s="5"/>
      <c r="F34" s="5"/>
      <c r="G34" s="5"/>
      <c r="H34" s="5"/>
      <c r="I34" s="5"/>
      <c r="J34" s="5"/>
      <c r="K34" s="5"/>
      <c r="L34" s="5"/>
      <c r="M34" s="5"/>
      <c r="N34" s="7"/>
      <c r="P34" s="4" t="s">
        <v>11</v>
      </c>
      <c r="Q34" s="73">
        <v>3.67</v>
      </c>
      <c r="R34" s="7">
        <f>ROUNDUP(E8/Q34,0)</f>
        <v>374</v>
      </c>
      <c r="S34" s="72">
        <v>600</v>
      </c>
      <c r="T34" s="9">
        <f>S34/10000</f>
        <v>0.06</v>
      </c>
      <c r="U34" s="11">
        <f t="shared" si="1"/>
        <v>22.439999999999998</v>
      </c>
    </row>
    <row r="35" spans="3:21" x14ac:dyDescent="0.25">
      <c r="C35" s="4"/>
      <c r="D35" s="74" t="s">
        <v>76</v>
      </c>
      <c r="E35" s="76"/>
      <c r="F35" s="5"/>
      <c r="G35" s="5"/>
      <c r="H35" s="74" t="s">
        <v>26</v>
      </c>
      <c r="I35" s="75"/>
      <c r="J35" s="76"/>
      <c r="K35" s="5"/>
      <c r="L35" s="5"/>
      <c r="M35" s="5"/>
      <c r="N35" s="7"/>
      <c r="P35" s="17" t="s">
        <v>2</v>
      </c>
      <c r="Q35" s="15"/>
      <c r="R35" s="14">
        <f>SUM(R32:R34)</f>
        <v>1671</v>
      </c>
    </row>
    <row r="36" spans="3:21" x14ac:dyDescent="0.25">
      <c r="C36" s="4"/>
      <c r="D36" s="1" t="s">
        <v>27</v>
      </c>
      <c r="E36" s="3" t="s">
        <v>28</v>
      </c>
      <c r="F36" s="5"/>
      <c r="G36" s="5"/>
      <c r="H36" s="4" t="s">
        <v>15</v>
      </c>
      <c r="I36" s="69">
        <v>0.7</v>
      </c>
      <c r="J36" s="7"/>
      <c r="K36" s="5"/>
      <c r="L36" s="5"/>
      <c r="M36" s="5"/>
      <c r="N36" s="7"/>
    </row>
    <row r="37" spans="3:21" x14ac:dyDescent="0.25">
      <c r="C37" s="4"/>
      <c r="D37" s="4" t="s">
        <v>15</v>
      </c>
      <c r="E37" s="66">
        <v>1460</v>
      </c>
      <c r="F37" s="5"/>
      <c r="G37" s="5"/>
      <c r="H37" s="8" t="s">
        <v>19</v>
      </c>
      <c r="I37" s="71">
        <v>0.3</v>
      </c>
      <c r="J37" s="11"/>
      <c r="K37" s="5"/>
      <c r="L37" s="5"/>
      <c r="M37" s="5"/>
      <c r="N37" s="7"/>
    </row>
    <row r="38" spans="3:21" x14ac:dyDescent="0.25">
      <c r="C38" s="4"/>
      <c r="D38" s="8" t="s">
        <v>23</v>
      </c>
      <c r="E38" s="67">
        <f>365*3</f>
        <v>1095</v>
      </c>
      <c r="F38" s="5"/>
      <c r="G38" s="5"/>
      <c r="H38" s="22"/>
      <c r="I38" s="135"/>
      <c r="J38" s="22"/>
      <c r="K38" s="5"/>
      <c r="L38" s="5"/>
      <c r="M38" s="5"/>
      <c r="N38" s="7"/>
      <c r="P38" s="74" t="s">
        <v>139</v>
      </c>
      <c r="Q38" s="75"/>
      <c r="R38" s="76"/>
    </row>
    <row r="39" spans="3:21" x14ac:dyDescent="0.25">
      <c r="C39" s="4"/>
      <c r="D39" s="22"/>
      <c r="E39" s="5"/>
      <c r="F39" s="5"/>
      <c r="G39" s="5"/>
      <c r="H39" s="5"/>
      <c r="I39" s="5"/>
      <c r="J39" s="5"/>
      <c r="K39" s="5"/>
      <c r="L39" s="5"/>
      <c r="M39" s="5"/>
      <c r="N39" s="7"/>
      <c r="P39" s="1" t="s">
        <v>86</v>
      </c>
      <c r="Q39" s="2" t="s">
        <v>101</v>
      </c>
      <c r="R39" s="3" t="s">
        <v>102</v>
      </c>
    </row>
    <row r="40" spans="3:21" x14ac:dyDescent="0.25">
      <c r="C40" s="4"/>
      <c r="D40" s="22"/>
      <c r="E40" s="5"/>
      <c r="F40" s="5"/>
      <c r="G40" s="5"/>
      <c r="H40" s="74" t="s">
        <v>80</v>
      </c>
      <c r="I40" s="75"/>
      <c r="J40" s="76"/>
      <c r="K40" s="5"/>
      <c r="L40" s="5"/>
      <c r="M40" s="5"/>
      <c r="N40" s="7"/>
      <c r="P40" s="4" t="s">
        <v>5</v>
      </c>
      <c r="Q40" s="5">
        <v>14</v>
      </c>
      <c r="R40" s="140">
        <f>Q40*I13</f>
        <v>6190.0510000000004</v>
      </c>
    </row>
    <row r="41" spans="3:21" x14ac:dyDescent="0.25">
      <c r="C41" s="4"/>
      <c r="D41" s="5"/>
      <c r="E41" s="5"/>
      <c r="F41" s="5"/>
      <c r="G41" s="5"/>
      <c r="H41" s="1" t="s">
        <v>35</v>
      </c>
      <c r="I41" s="2" t="s">
        <v>38</v>
      </c>
      <c r="J41" s="3"/>
      <c r="K41" s="5"/>
      <c r="L41" s="5"/>
      <c r="M41" s="5"/>
      <c r="N41" s="7"/>
      <c r="P41" s="4" t="s">
        <v>6</v>
      </c>
      <c r="Q41" s="5">
        <v>16</v>
      </c>
      <c r="R41" s="140">
        <f>Q41*I14</f>
        <v>2827.9573333333333</v>
      </c>
    </row>
    <row r="42" spans="3:21" x14ac:dyDescent="0.25">
      <c r="C42" s="4"/>
      <c r="D42" s="5"/>
      <c r="E42" s="5"/>
      <c r="F42" s="5"/>
      <c r="G42" s="5"/>
      <c r="H42" s="4" t="s">
        <v>36</v>
      </c>
      <c r="I42" s="69">
        <v>0.75</v>
      </c>
      <c r="J42" s="7">
        <f>ROUNDUP(I18*I42,0)</f>
        <v>1341</v>
      </c>
      <c r="K42" s="5"/>
      <c r="L42" s="5"/>
      <c r="M42" s="5"/>
      <c r="N42" s="7"/>
      <c r="P42" s="4" t="s">
        <v>15</v>
      </c>
      <c r="Q42" s="45">
        <f>J32*I36</f>
        <v>1346.3099999999997</v>
      </c>
      <c r="R42" s="140">
        <f>J32*I36</f>
        <v>1346.3099999999997</v>
      </c>
    </row>
    <row r="43" spans="3:21" x14ac:dyDescent="0.25">
      <c r="C43" s="8"/>
      <c r="D43" s="9"/>
      <c r="E43" s="9"/>
      <c r="F43" s="9"/>
      <c r="G43" s="9"/>
      <c r="H43" s="8" t="s">
        <v>37</v>
      </c>
      <c r="I43" s="71">
        <v>0.25</v>
      </c>
      <c r="J43" s="11">
        <f>ROUNDUP(I18*I43,0)</f>
        <v>447</v>
      </c>
      <c r="K43" s="9"/>
      <c r="L43" s="9"/>
      <c r="M43" s="9"/>
      <c r="N43" s="11"/>
      <c r="P43" s="8" t="s">
        <v>23</v>
      </c>
      <c r="Q43" s="136">
        <f>J32*I37</f>
        <v>576.9899999999999</v>
      </c>
      <c r="R43" s="141">
        <f>J32*I37</f>
        <v>576.9899999999999</v>
      </c>
    </row>
    <row r="44" spans="3:21" ht="15.75" thickBot="1" x14ac:dyDescent="0.3"/>
    <row r="45" spans="3:21" x14ac:dyDescent="0.25">
      <c r="M45" s="21"/>
      <c r="P45" s="89" t="s">
        <v>140</v>
      </c>
      <c r="Q45" s="90"/>
      <c r="R45" s="43" t="s">
        <v>149</v>
      </c>
      <c r="S45" s="44"/>
    </row>
    <row r="46" spans="3:21" ht="15.75" thickBot="1" x14ac:dyDescent="0.3">
      <c r="P46" s="38" t="s">
        <v>5</v>
      </c>
      <c r="Q46" s="5">
        <v>0.93</v>
      </c>
      <c r="R46" s="45">
        <f>ABS(R58-R40)</f>
        <v>428.70100000000002</v>
      </c>
      <c r="S46" s="46" t="str">
        <f>IF(Q46&lt;1,"Importing","Exporting")</f>
        <v>Importing</v>
      </c>
    </row>
    <row r="47" spans="3:21" x14ac:dyDescent="0.25">
      <c r="C47" s="49"/>
      <c r="D47" s="77" t="s">
        <v>106</v>
      </c>
      <c r="E47" s="77"/>
      <c r="F47" s="77"/>
      <c r="G47" s="77" t="s">
        <v>116</v>
      </c>
      <c r="H47" s="77"/>
      <c r="I47" s="77"/>
      <c r="J47" s="77" t="s">
        <v>118</v>
      </c>
      <c r="K47" s="78"/>
      <c r="P47" s="38" t="s">
        <v>6</v>
      </c>
      <c r="Q47" s="5">
        <v>1.07</v>
      </c>
      <c r="R47" s="45">
        <f>ABS(R59-R41)</f>
        <v>202.28266666666696</v>
      </c>
      <c r="S47" s="46" t="str">
        <f t="shared" ref="S47:S49" si="2">IF(Q47&lt;1,"Importing","Exporting")</f>
        <v>Exporting</v>
      </c>
    </row>
    <row r="48" spans="3:21" x14ac:dyDescent="0.25">
      <c r="C48" s="38"/>
      <c r="D48" s="5" t="s">
        <v>104</v>
      </c>
      <c r="E48" s="5" t="s">
        <v>62</v>
      </c>
      <c r="F48" s="5" t="s">
        <v>105</v>
      </c>
      <c r="G48" s="5" t="s">
        <v>10</v>
      </c>
      <c r="H48" s="5" t="s">
        <v>115</v>
      </c>
      <c r="I48" s="5" t="s">
        <v>11</v>
      </c>
      <c r="J48" s="5" t="s">
        <v>62</v>
      </c>
      <c r="K48" s="39" t="s">
        <v>105</v>
      </c>
      <c r="P48" s="38" t="s">
        <v>150</v>
      </c>
      <c r="Q48" s="5">
        <v>1.37</v>
      </c>
      <c r="R48" s="45">
        <f>ABS(Q61-R42)</f>
        <v>498.13470000000007</v>
      </c>
      <c r="S48" s="46" t="str">
        <f t="shared" si="2"/>
        <v>Exporting</v>
      </c>
    </row>
    <row r="49" spans="3:23" x14ac:dyDescent="0.25">
      <c r="C49" s="38">
        <v>0</v>
      </c>
      <c r="D49" s="5" t="s">
        <v>107</v>
      </c>
      <c r="E49" s="56">
        <v>100000</v>
      </c>
      <c r="F49" s="56">
        <v>1000000</v>
      </c>
      <c r="G49" s="57">
        <v>0.4</v>
      </c>
      <c r="H49" s="57">
        <v>0.25</v>
      </c>
      <c r="I49" s="57">
        <v>0.35</v>
      </c>
      <c r="J49" s="58">
        <v>0.3</v>
      </c>
      <c r="K49" s="59">
        <v>0.7</v>
      </c>
      <c r="P49" s="38" t="s">
        <v>151</v>
      </c>
      <c r="Q49" s="5">
        <v>1.45</v>
      </c>
      <c r="R49" s="45">
        <f>ABS(Q62-R43)</f>
        <v>259.64549999999986</v>
      </c>
      <c r="S49" s="46" t="str">
        <f t="shared" si="2"/>
        <v>Exporting</v>
      </c>
    </row>
    <row r="50" spans="3:23" ht="15.75" thickBot="1" x14ac:dyDescent="0.3">
      <c r="C50" s="38">
        <v>1</v>
      </c>
      <c r="D50" s="5" t="s">
        <v>108</v>
      </c>
      <c r="E50" s="56">
        <v>50000</v>
      </c>
      <c r="F50" s="56">
        <v>350000</v>
      </c>
      <c r="G50" s="57">
        <v>0.45</v>
      </c>
      <c r="H50" s="57">
        <v>0.25</v>
      </c>
      <c r="I50" s="57">
        <v>0.3</v>
      </c>
      <c r="J50" s="58">
        <v>0.5</v>
      </c>
      <c r="K50" s="59">
        <v>0.95</v>
      </c>
      <c r="P50" s="40" t="s">
        <v>2</v>
      </c>
      <c r="Q50" s="41">
        <v>0.86</v>
      </c>
      <c r="R50" s="47">
        <f>SUM(R46:R49)</f>
        <v>1388.7638666666669</v>
      </c>
      <c r="S50" s="48"/>
    </row>
    <row r="51" spans="3:23" x14ac:dyDescent="0.25">
      <c r="C51" s="38">
        <v>2</v>
      </c>
      <c r="D51" s="5" t="s">
        <v>113</v>
      </c>
      <c r="E51" s="56">
        <v>15000</v>
      </c>
      <c r="F51" s="56">
        <v>50000</v>
      </c>
      <c r="G51" s="57">
        <v>0.5</v>
      </c>
      <c r="H51" s="57">
        <v>0.25</v>
      </c>
      <c r="I51" s="57">
        <v>0.25</v>
      </c>
      <c r="J51" s="58">
        <v>0.5</v>
      </c>
      <c r="K51" s="59">
        <v>1.1000000000000001</v>
      </c>
    </row>
    <row r="52" spans="3:23" x14ac:dyDescent="0.25">
      <c r="C52" s="38">
        <v>3</v>
      </c>
      <c r="D52" s="5" t="s">
        <v>114</v>
      </c>
      <c r="E52" s="56">
        <v>12000</v>
      </c>
      <c r="F52" s="56">
        <v>15000</v>
      </c>
      <c r="G52" s="57">
        <v>0.45</v>
      </c>
      <c r="H52" s="57">
        <v>0.35</v>
      </c>
      <c r="I52" s="57">
        <v>0.2</v>
      </c>
      <c r="J52" s="58">
        <v>0.65</v>
      </c>
      <c r="K52" s="59">
        <v>1.3</v>
      </c>
    </row>
    <row r="53" spans="3:23" x14ac:dyDescent="0.25">
      <c r="C53" s="38">
        <v>4</v>
      </c>
      <c r="D53" s="5" t="s">
        <v>88</v>
      </c>
      <c r="E53" s="56">
        <v>8000</v>
      </c>
      <c r="F53" s="56">
        <v>12000</v>
      </c>
      <c r="G53" s="57">
        <v>0.5</v>
      </c>
      <c r="H53" s="57">
        <v>0.35</v>
      </c>
      <c r="I53" s="57">
        <v>0.15</v>
      </c>
      <c r="J53" s="58">
        <v>0.7</v>
      </c>
      <c r="K53" s="59">
        <v>1.6</v>
      </c>
    </row>
    <row r="54" spans="3:23" x14ac:dyDescent="0.25">
      <c r="C54" s="38">
        <v>5</v>
      </c>
      <c r="D54" s="5" t="s">
        <v>125</v>
      </c>
      <c r="E54" s="56">
        <v>5000</v>
      </c>
      <c r="F54" s="56">
        <v>8000</v>
      </c>
      <c r="G54" s="57">
        <v>0.65</v>
      </c>
      <c r="H54" s="57">
        <v>0.23</v>
      </c>
      <c r="I54" s="57">
        <v>0.12</v>
      </c>
      <c r="J54" s="58">
        <v>0.75</v>
      </c>
      <c r="K54" s="59">
        <v>2</v>
      </c>
    </row>
    <row r="55" spans="3:23" x14ac:dyDescent="0.25">
      <c r="C55" s="38">
        <v>6</v>
      </c>
      <c r="D55" s="5" t="s">
        <v>109</v>
      </c>
      <c r="E55" s="56">
        <v>3000</v>
      </c>
      <c r="F55" s="56">
        <v>5000</v>
      </c>
      <c r="G55" s="57">
        <v>0.75</v>
      </c>
      <c r="H55" s="57">
        <v>0.17</v>
      </c>
      <c r="I55" s="57">
        <v>0.08</v>
      </c>
      <c r="J55" s="58">
        <v>0.9</v>
      </c>
      <c r="K55" s="59">
        <v>3.8</v>
      </c>
    </row>
    <row r="56" spans="3:23" x14ac:dyDescent="0.25">
      <c r="C56" s="38">
        <v>7</v>
      </c>
      <c r="D56" s="5" t="s">
        <v>126</v>
      </c>
      <c r="E56" s="56">
        <v>1000</v>
      </c>
      <c r="F56" s="56">
        <v>3000</v>
      </c>
      <c r="G56" s="57">
        <v>0.8</v>
      </c>
      <c r="H56" s="57">
        <v>0.15</v>
      </c>
      <c r="I56" s="57">
        <v>0.05</v>
      </c>
      <c r="J56" s="58">
        <v>1.05</v>
      </c>
      <c r="K56" s="59">
        <v>5</v>
      </c>
      <c r="P56" s="74" t="s">
        <v>141</v>
      </c>
      <c r="Q56" s="75"/>
      <c r="R56" s="76"/>
      <c r="T56" s="74" t="s">
        <v>144</v>
      </c>
      <c r="U56" s="75"/>
      <c r="V56" s="75"/>
      <c r="W56" s="76"/>
    </row>
    <row r="57" spans="3:23" x14ac:dyDescent="0.25">
      <c r="C57" s="38">
        <v>8</v>
      </c>
      <c r="D57" s="5" t="s">
        <v>110</v>
      </c>
      <c r="E57" s="56">
        <v>300</v>
      </c>
      <c r="F57" s="56">
        <v>1000</v>
      </c>
      <c r="G57" s="57">
        <v>0.9</v>
      </c>
      <c r="H57" s="57">
        <v>7.0000000000000007E-2</v>
      </c>
      <c r="I57" s="57">
        <v>0.03</v>
      </c>
      <c r="J57" s="58">
        <v>1.1000000000000001</v>
      </c>
      <c r="K57" s="59">
        <v>8</v>
      </c>
      <c r="P57" s="4" t="s">
        <v>86</v>
      </c>
      <c r="Q57" s="5" t="s">
        <v>101</v>
      </c>
      <c r="R57" s="7" t="s">
        <v>142</v>
      </c>
      <c r="T57" s="4" t="s">
        <v>86</v>
      </c>
      <c r="U57" s="5" t="s">
        <v>90</v>
      </c>
      <c r="V57" s="5" t="s">
        <v>14</v>
      </c>
      <c r="W57" s="7" t="s">
        <v>39</v>
      </c>
    </row>
    <row r="58" spans="3:23" x14ac:dyDescent="0.25">
      <c r="C58" s="38">
        <v>9</v>
      </c>
      <c r="D58" s="5" t="s">
        <v>112</v>
      </c>
      <c r="E58" s="56">
        <v>50</v>
      </c>
      <c r="F58" s="56">
        <v>300</v>
      </c>
      <c r="G58" s="57">
        <v>0.95</v>
      </c>
      <c r="H58" s="57">
        <v>0.05</v>
      </c>
      <c r="I58" s="57">
        <v>0</v>
      </c>
      <c r="J58" s="58">
        <v>1.2</v>
      </c>
      <c r="K58" s="59">
        <v>9</v>
      </c>
      <c r="P58" s="4" t="s">
        <v>5</v>
      </c>
      <c r="Q58" s="5">
        <v>14</v>
      </c>
      <c r="R58" s="7">
        <f>Q58*(U58/2)</f>
        <v>5761.35</v>
      </c>
      <c r="T58" s="4" t="s">
        <v>5</v>
      </c>
      <c r="U58" s="5">
        <f>J13*Q46</f>
        <v>823.05000000000007</v>
      </c>
      <c r="V58" s="5">
        <f>ROUNDUP((U58/(H25*K25))*2,0)</f>
        <v>206</v>
      </c>
      <c r="W58" s="7">
        <f>V58*2</f>
        <v>412</v>
      </c>
    </row>
    <row r="59" spans="3:23" ht="15.75" thickBot="1" x14ac:dyDescent="0.3">
      <c r="C59" s="40">
        <v>10</v>
      </c>
      <c r="D59" s="41" t="s">
        <v>111</v>
      </c>
      <c r="E59" s="60">
        <v>10</v>
      </c>
      <c r="F59" s="60">
        <v>50</v>
      </c>
      <c r="G59" s="61">
        <v>1</v>
      </c>
      <c r="H59" s="61">
        <v>0</v>
      </c>
      <c r="I59" s="61">
        <v>0</v>
      </c>
      <c r="J59" s="62">
        <v>1.5</v>
      </c>
      <c r="K59" s="63">
        <v>10</v>
      </c>
      <c r="P59" s="8" t="s">
        <v>6</v>
      </c>
      <c r="Q59" s="9">
        <v>16</v>
      </c>
      <c r="R59" s="11">
        <f>Q59*(U59/2)</f>
        <v>3030.2400000000002</v>
      </c>
      <c r="T59" s="8" t="s">
        <v>6</v>
      </c>
      <c r="U59" s="9">
        <f>J14*Q47</f>
        <v>378.78000000000003</v>
      </c>
      <c r="V59" s="9">
        <f>ROUNDUP((U59/(H25*K25))*2,0)</f>
        <v>95</v>
      </c>
      <c r="W59" s="11">
        <f>V59*2</f>
        <v>190</v>
      </c>
    </row>
    <row r="60" spans="3:23" x14ac:dyDescent="0.25">
      <c r="P60" s="1"/>
      <c r="Q60" s="2" t="s">
        <v>46</v>
      </c>
      <c r="R60" s="3"/>
    </row>
    <row r="61" spans="3:23" ht="15.75" thickBot="1" x14ac:dyDescent="0.3">
      <c r="P61" s="4" t="s">
        <v>15</v>
      </c>
      <c r="Q61" s="5">
        <f>(J32*Q48)*I36</f>
        <v>1844.4446999999998</v>
      </c>
      <c r="R61" s="7"/>
    </row>
    <row r="62" spans="3:23" x14ac:dyDescent="0.25">
      <c r="D62" s="86" t="s">
        <v>129</v>
      </c>
      <c r="E62" s="77"/>
      <c r="F62" s="77"/>
      <c r="G62" s="78"/>
      <c r="P62" s="8" t="s">
        <v>19</v>
      </c>
      <c r="Q62" s="9">
        <f>(J32*Q49)*I37</f>
        <v>836.63549999999975</v>
      </c>
      <c r="R62" s="11"/>
      <c r="T62" s="74" t="s">
        <v>146</v>
      </c>
      <c r="U62" s="75"/>
      <c r="V62" s="75"/>
      <c r="W62" s="76"/>
    </row>
    <row r="63" spans="3:23" x14ac:dyDescent="0.25">
      <c r="D63" s="38" t="s">
        <v>130</v>
      </c>
      <c r="E63" s="5" t="s">
        <v>10</v>
      </c>
      <c r="F63" s="5" t="s">
        <v>115</v>
      </c>
      <c r="G63" s="39" t="s">
        <v>11</v>
      </c>
      <c r="T63" s="4" t="s">
        <v>86</v>
      </c>
      <c r="U63" s="5" t="s">
        <v>147</v>
      </c>
      <c r="V63" s="5" t="s">
        <v>25</v>
      </c>
      <c r="W63" s="7" t="s">
        <v>14</v>
      </c>
    </row>
    <row r="64" spans="3:23" x14ac:dyDescent="0.25">
      <c r="D64" s="50" t="s">
        <v>131</v>
      </c>
      <c r="E64" s="52">
        <v>2E-3</v>
      </c>
      <c r="F64" s="52">
        <v>0</v>
      </c>
      <c r="G64" s="53">
        <v>1E-3</v>
      </c>
      <c r="H64" s="28"/>
      <c r="T64" s="4" t="s">
        <v>15</v>
      </c>
      <c r="U64" s="5">
        <f>ROUNDUP(I18*Q48,0)</f>
        <v>2449</v>
      </c>
      <c r="V64" s="5">
        <f>ROUNDUP(U64/2,0)</f>
        <v>1225</v>
      </c>
      <c r="W64" s="7">
        <f>ROUNDUP(U64/100,0)</f>
        <v>25</v>
      </c>
    </row>
    <row r="65" spans="4:23" x14ac:dyDescent="0.25">
      <c r="D65" s="50" t="s">
        <v>132</v>
      </c>
      <c r="E65" s="52">
        <v>3.5999999999999999E-3</v>
      </c>
      <c r="F65" s="52">
        <v>0</v>
      </c>
      <c r="G65" s="53">
        <v>2E-3</v>
      </c>
      <c r="H65" s="28"/>
      <c r="T65" s="8" t="s">
        <v>23</v>
      </c>
      <c r="U65" s="9">
        <f>ROUNDUP(I19*Q49,0)</f>
        <v>9163</v>
      </c>
      <c r="V65" s="9">
        <f>ROUNDUP(U65/15,0)</f>
        <v>611</v>
      </c>
      <c r="W65" s="11">
        <f>ROUNDUP(V65/100,0)</f>
        <v>7</v>
      </c>
    </row>
    <row r="66" spans="4:23" x14ac:dyDescent="0.25">
      <c r="D66" s="50" t="s">
        <v>133</v>
      </c>
      <c r="E66" s="52">
        <v>5.4000000000000003E-3</v>
      </c>
      <c r="F66" s="52">
        <v>0</v>
      </c>
      <c r="G66" s="53">
        <v>6.0000000000000001E-3</v>
      </c>
      <c r="H66" s="28"/>
      <c r="T66" s="113"/>
      <c r="U66" s="113"/>
      <c r="V66" s="113"/>
      <c r="W66" s="113"/>
    </row>
    <row r="67" spans="4:23" x14ac:dyDescent="0.25">
      <c r="D67" s="50" t="s">
        <v>134</v>
      </c>
      <c r="E67" s="52">
        <v>8.9999999999999993E-3</v>
      </c>
      <c r="F67" s="52">
        <v>2E-3</v>
      </c>
      <c r="G67" s="53">
        <v>7.0000000000000001E-3</v>
      </c>
      <c r="H67" s="28"/>
    </row>
    <row r="68" spans="4:23" x14ac:dyDescent="0.25">
      <c r="D68" s="50" t="s">
        <v>135</v>
      </c>
      <c r="E68" s="52">
        <v>1.26E-2</v>
      </c>
      <c r="F68" s="52">
        <v>5.0000000000000001E-3</v>
      </c>
      <c r="G68" s="53">
        <v>1.2E-2</v>
      </c>
      <c r="H68" s="28"/>
    </row>
    <row r="69" spans="4:23" x14ac:dyDescent="0.25">
      <c r="D69" s="50" t="s">
        <v>136</v>
      </c>
      <c r="E69" s="52">
        <v>1.7000000000000001E-2</v>
      </c>
      <c r="F69" s="52">
        <v>6.4000000000000003E-3</v>
      </c>
      <c r="G69" s="53">
        <v>1.5599999999999999E-2</v>
      </c>
      <c r="H69" s="28"/>
    </row>
    <row r="70" spans="4:23" ht="15.75" thickBot="1" x14ac:dyDescent="0.3">
      <c r="D70" s="51" t="s">
        <v>137</v>
      </c>
      <c r="E70" s="54">
        <v>0.02</v>
      </c>
      <c r="F70" s="54">
        <v>1.1599999999999999E-2</v>
      </c>
      <c r="G70" s="55">
        <v>0.02</v>
      </c>
      <c r="H70" s="28"/>
    </row>
  </sheetData>
  <mergeCells count="34">
    <mergeCell ref="P23:T23"/>
    <mergeCell ref="T62:W62"/>
    <mergeCell ref="T56:W56"/>
    <mergeCell ref="C2:G3"/>
    <mergeCell ref="D62:G62"/>
    <mergeCell ref="P38:R38"/>
    <mergeCell ref="P45:Q45"/>
    <mergeCell ref="P56:R56"/>
    <mergeCell ref="D4:E4"/>
    <mergeCell ref="H11:L11"/>
    <mergeCell ref="H22:J22"/>
    <mergeCell ref="H16:K16"/>
    <mergeCell ref="H23:J24"/>
    <mergeCell ref="L4:N4"/>
    <mergeCell ref="H4:K4"/>
    <mergeCell ref="P10:T10"/>
    <mergeCell ref="P16:T16"/>
    <mergeCell ref="P17:T17"/>
    <mergeCell ref="Q4:T4"/>
    <mergeCell ref="S30:T30"/>
    <mergeCell ref="D47:F47"/>
    <mergeCell ref="G47:I47"/>
    <mergeCell ref="J47:K47"/>
    <mergeCell ref="P30:R30"/>
    <mergeCell ref="H35:J35"/>
    <mergeCell ref="H40:J40"/>
    <mergeCell ref="H25:J25"/>
    <mergeCell ref="H27:J27"/>
    <mergeCell ref="K23:L24"/>
    <mergeCell ref="D12:E12"/>
    <mergeCell ref="D17:E17"/>
    <mergeCell ref="D23:F23"/>
    <mergeCell ref="D30:F30"/>
    <mergeCell ref="D35:E35"/>
  </mergeCells>
  <pageMargins left="0.7" right="0.7" top="0.75" bottom="0.75" header="0.3" footer="0.3"/>
  <pageSetup paperSize="9" orientation="portrait" r:id="rId1"/>
  <ignoredErrors>
    <ignoredError sqref="J19" formula="1"/>
    <ignoredError sqref="Y19:Z19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Town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2017-05-20T11:53:18Z</dcterms:created>
  <dcterms:modified xsi:type="dcterms:W3CDTF">2017-06-03T20:13:18Z</dcterms:modified>
</cp:coreProperties>
</file>