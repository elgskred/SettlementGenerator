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SettlementGenerator\"/>
    </mc:Choice>
  </mc:AlternateContent>
  <bookViews>
    <workbookView xWindow="0" yWindow="0" windowWidth="28770" windowHeight="12015"/>
  </bookViews>
  <sheets>
    <sheet name="Sheet1" sheetId="1" r:id="rId1"/>
    <sheet name="Sheet2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4" i="1" l="1"/>
  <c r="S13" i="1"/>
  <c r="U59" i="1"/>
  <c r="V59" i="1" s="1"/>
  <c r="W59" i="1" s="1"/>
  <c r="U58" i="1"/>
  <c r="S12" i="1" s="1"/>
  <c r="R43" i="1"/>
  <c r="R42" i="1"/>
  <c r="Q56" i="1"/>
  <c r="Q55" i="1"/>
  <c r="S45" i="1"/>
  <c r="E10" i="1"/>
  <c r="V58" i="1" l="1"/>
  <c r="W58" i="1"/>
  <c r="X5" i="1" s="1"/>
  <c r="K20" i="1"/>
  <c r="T34" i="1"/>
  <c r="T33" i="1"/>
  <c r="T32" i="1"/>
  <c r="Y19" i="1"/>
  <c r="Y17" i="1"/>
  <c r="Y16" i="1"/>
  <c r="Z15" i="1"/>
  <c r="Y15" i="1"/>
  <c r="R33" i="1"/>
  <c r="T7" i="1"/>
  <c r="M6" i="1"/>
  <c r="M8" i="1"/>
  <c r="M7" i="1"/>
  <c r="J9" i="1"/>
  <c r="Y18" i="1"/>
  <c r="R34" i="1"/>
  <c r="R32" i="1"/>
  <c r="Y22" i="1" l="1"/>
  <c r="M9" i="1"/>
  <c r="U33" i="1"/>
  <c r="U32" i="1"/>
  <c r="U34" i="1"/>
  <c r="R35" i="1"/>
  <c r="Q25" i="1" l="1"/>
  <c r="Z11" i="1"/>
  <c r="Y11" i="1"/>
  <c r="T8" i="1"/>
  <c r="T6" i="1"/>
  <c r="Z17" i="1"/>
  <c r="Z18" i="1"/>
  <c r="S18" i="1"/>
  <c r="E36" i="1"/>
  <c r="J20" i="1"/>
  <c r="F31" i="1"/>
  <c r="I30" i="1" s="1"/>
  <c r="J30" i="1" s="1"/>
  <c r="F30" i="1"/>
  <c r="N8" i="1"/>
  <c r="L8" i="1"/>
  <c r="N7" i="1"/>
  <c r="L7" i="1"/>
  <c r="N6" i="1"/>
  <c r="L6" i="1"/>
  <c r="K9" i="1"/>
  <c r="I9" i="1"/>
  <c r="Y20" i="1"/>
  <c r="Z20" i="1" s="1"/>
  <c r="R25" i="1" l="1"/>
  <c r="S25" i="1"/>
  <c r="I31" i="1"/>
  <c r="J31" i="1" s="1"/>
  <c r="Y13" i="1"/>
  <c r="Y12" i="1"/>
  <c r="L9" i="1"/>
  <c r="I13" i="1"/>
  <c r="R40" i="1" s="1"/>
  <c r="N9" i="1"/>
  <c r="I14" i="1"/>
  <c r="R41" i="1" s="1"/>
  <c r="I29" i="1"/>
  <c r="J29" i="1" s="1"/>
  <c r="J32" i="1" s="1"/>
  <c r="I19" i="1" l="1"/>
  <c r="K19" i="1" s="1"/>
  <c r="I18" i="1"/>
  <c r="J42" i="1" s="1"/>
  <c r="J13" i="1"/>
  <c r="J14" i="1"/>
  <c r="I32" i="1"/>
  <c r="Y8" i="1"/>
  <c r="Z8" i="1" s="1"/>
  <c r="Y6" i="1"/>
  <c r="Z6" i="1" s="1"/>
  <c r="K18" i="1" l="1"/>
  <c r="J19" i="1"/>
  <c r="Y7" i="1"/>
  <c r="Z7" i="1" s="1"/>
  <c r="K14" i="1"/>
  <c r="L14" i="1" s="1"/>
  <c r="U53" i="1"/>
  <c r="K13" i="1"/>
  <c r="L13" i="1" s="1"/>
  <c r="U52" i="1"/>
  <c r="J18" i="1"/>
  <c r="Q26" i="1" s="1"/>
  <c r="Y10" i="1"/>
  <c r="Z10" i="1" s="1"/>
  <c r="J43" i="1"/>
  <c r="Q20" i="1" s="1"/>
  <c r="R53" i="1" l="1"/>
  <c r="V53" i="1"/>
  <c r="W53" i="1" s="1"/>
  <c r="V52" i="1"/>
  <c r="W52" i="1" s="1"/>
  <c r="R52" i="1"/>
  <c r="R26" i="1"/>
  <c r="Q27" i="1"/>
  <c r="Y9" i="1"/>
  <c r="Z9" i="1" s="1"/>
  <c r="Y5" i="1"/>
</calcChain>
</file>

<file path=xl/sharedStrings.xml><?xml version="1.0" encoding="utf-8"?>
<sst xmlns="http://schemas.openxmlformats.org/spreadsheetml/2006/main" count="250" uniqueCount="157">
  <si>
    <t>Peasants:</t>
  </si>
  <si>
    <t>Aristocrats:</t>
  </si>
  <si>
    <t>Total</t>
  </si>
  <si>
    <t>Num</t>
  </si>
  <si>
    <t>Production:</t>
  </si>
  <si>
    <t>Grain</t>
  </si>
  <si>
    <t>Vegetables</t>
  </si>
  <si>
    <t>cal/ha/day</t>
  </si>
  <si>
    <t>Diet</t>
  </si>
  <si>
    <t>Meat</t>
  </si>
  <si>
    <t>Peasant</t>
  </si>
  <si>
    <t>Aristocrat</t>
  </si>
  <si>
    <t>cal/day</t>
  </si>
  <si>
    <t>Planting/harvesting speed</t>
  </si>
  <si>
    <t>Farmers needed</t>
  </si>
  <si>
    <t>Cow</t>
  </si>
  <si>
    <t>Weight</t>
  </si>
  <si>
    <t>kg</t>
  </si>
  <si>
    <t>Nutritions</t>
  </si>
  <si>
    <t>Lamb</t>
  </si>
  <si>
    <t>cal/100g</t>
  </si>
  <si>
    <t>cal/kg</t>
  </si>
  <si>
    <t>Meat needed per day in kg</t>
  </si>
  <si>
    <t>Sheep</t>
  </si>
  <si>
    <t>Number</t>
  </si>
  <si>
    <t>Grazing areal</t>
  </si>
  <si>
    <t>Meat distribution cow/lamb</t>
  </si>
  <si>
    <t>Hunted Meat</t>
  </si>
  <si>
    <t>Growth time</t>
  </si>
  <si>
    <t>Days</t>
  </si>
  <si>
    <t>Animal byproducts</t>
  </si>
  <si>
    <t>Milk</t>
  </si>
  <si>
    <t>Wool</t>
  </si>
  <si>
    <t>litre/day</t>
  </si>
  <si>
    <t>kg/year</t>
  </si>
  <si>
    <t>Totals</t>
  </si>
  <si>
    <t>Cow categories</t>
  </si>
  <si>
    <t>Beast of burden</t>
  </si>
  <si>
    <t>Dairy cow</t>
  </si>
  <si>
    <t>distribution</t>
  </si>
  <si>
    <t>Animals needed</t>
  </si>
  <si>
    <t>Jobs:</t>
  </si>
  <si>
    <t>Farmer</t>
  </si>
  <si>
    <t>Slaughter</t>
  </si>
  <si>
    <t>Leatherworker</t>
  </si>
  <si>
    <t>Blacksmith</t>
  </si>
  <si>
    <t>Cow hide</t>
  </si>
  <si>
    <t>kg/day</t>
  </si>
  <si>
    <t>Farmers needed for milking</t>
  </si>
  <si>
    <t>Milk time</t>
  </si>
  <si>
    <t>min</t>
  </si>
  <si>
    <t>hour</t>
  </si>
  <si>
    <t>Alloted time</t>
  </si>
  <si>
    <t>Required manpower</t>
  </si>
  <si>
    <t>Dairy</t>
  </si>
  <si>
    <t>Lumberer</t>
  </si>
  <si>
    <t>Carpenter</t>
  </si>
  <si>
    <t>Tailor</t>
  </si>
  <si>
    <t>Mason</t>
  </si>
  <si>
    <t>Fisher</t>
  </si>
  <si>
    <t>Jeweler</t>
  </si>
  <si>
    <t>Merchant</t>
  </si>
  <si>
    <t>Healer</t>
  </si>
  <si>
    <t>Clergy</t>
  </si>
  <si>
    <t>Low</t>
  </si>
  <si>
    <t>Top</t>
  </si>
  <si>
    <t>Selfsustain</t>
  </si>
  <si>
    <t>Birthrate</t>
  </si>
  <si>
    <t>Pop growth/year</t>
  </si>
  <si>
    <t>Birth rate</t>
  </si>
  <si>
    <t>Death rate</t>
  </si>
  <si>
    <t>Calorie Requirements</t>
  </si>
  <si>
    <t>Population growth per year</t>
  </si>
  <si>
    <t>Population</t>
  </si>
  <si>
    <t>Diet distribution</t>
  </si>
  <si>
    <t>Food production in calories</t>
  </si>
  <si>
    <t>Calorie distribution</t>
  </si>
  <si>
    <t>Anamal weights</t>
  </si>
  <si>
    <t>Animal calorie distribution</t>
  </si>
  <si>
    <t>Animal growth time</t>
  </si>
  <si>
    <t>Farm areal requirements - In hectare</t>
  </si>
  <si>
    <t>Minimum amount of animals required to feed the town</t>
  </si>
  <si>
    <t>2man teams planting/harvesting time per day in hectare</t>
  </si>
  <si>
    <t>Cattle uses and distribution</t>
  </si>
  <si>
    <t>Dairy production requirements</t>
  </si>
  <si>
    <t>Magic Shops</t>
  </si>
  <si>
    <t>Tavern</t>
  </si>
  <si>
    <t>Inn</t>
  </si>
  <si>
    <t>Settlement area including local farms</t>
  </si>
  <si>
    <t>Type</t>
  </si>
  <si>
    <t>Hectare</t>
  </si>
  <si>
    <t>City</t>
  </si>
  <si>
    <t>Farms</t>
  </si>
  <si>
    <t>Total area</t>
  </si>
  <si>
    <t>Area for single year</t>
  </si>
  <si>
    <t>Average household size</t>
  </si>
  <si>
    <t>Size</t>
  </si>
  <si>
    <t>Houses</t>
  </si>
  <si>
    <t>Average housesize</t>
  </si>
  <si>
    <t>Servants</t>
  </si>
  <si>
    <t>Artisans</t>
  </si>
  <si>
    <t>Artisans:</t>
  </si>
  <si>
    <t>Size in hectare</t>
  </si>
  <si>
    <t>Size in m2</t>
  </si>
  <si>
    <t>kg/ha/day</t>
  </si>
  <si>
    <t>Production</t>
  </si>
  <si>
    <t>City center</t>
  </si>
  <si>
    <t>Town types</t>
  </si>
  <si>
    <t>High</t>
  </si>
  <si>
    <t>Town types and populations</t>
  </si>
  <si>
    <t>Capital</t>
  </si>
  <si>
    <t>Metropol</t>
  </si>
  <si>
    <t>Town</t>
  </si>
  <si>
    <t>Settlement</t>
  </si>
  <si>
    <t>Hamlet</t>
  </si>
  <si>
    <t>Village</t>
  </si>
  <si>
    <t>Major City</t>
  </si>
  <si>
    <t>Large City</t>
  </si>
  <si>
    <t>Artisan</t>
  </si>
  <si>
    <t>Population distribution</t>
  </si>
  <si>
    <t>Hunter</t>
  </si>
  <si>
    <t>Square dim in m</t>
  </si>
  <si>
    <t>Food production/consumption</t>
  </si>
  <si>
    <t>Town generator for D&amp;D</t>
  </si>
  <si>
    <t>Town size</t>
  </si>
  <si>
    <t>Peasants</t>
  </si>
  <si>
    <t>Nobles</t>
  </si>
  <si>
    <t>Generate town
Button</t>
  </si>
  <si>
    <t>Jobs</t>
  </si>
  <si>
    <t>Leatheroworker</t>
  </si>
  <si>
    <t>Jewler</t>
  </si>
  <si>
    <t>Servant</t>
  </si>
  <si>
    <t>Hunter/Fisher</t>
  </si>
  <si>
    <t>Soldiers</t>
  </si>
  <si>
    <t>Large Town</t>
  </si>
  <si>
    <t>Small Town</t>
  </si>
  <si>
    <t xml:space="preserve"> Population</t>
  </si>
  <si>
    <t>Law enforcement</t>
  </si>
  <si>
    <t>Law Enforcement</t>
  </si>
  <si>
    <t>Types</t>
  </si>
  <si>
    <t>Negligible</t>
  </si>
  <si>
    <t>Sporadic</t>
  </si>
  <si>
    <t>Unreliable</t>
  </si>
  <si>
    <t>Typical</t>
  </si>
  <si>
    <t>Zealous</t>
  </si>
  <si>
    <t>Oppressive</t>
  </si>
  <si>
    <t>Tyrannical</t>
  </si>
  <si>
    <t>radius in m</t>
  </si>
  <si>
    <t>Farming production required for selfsustain</t>
  </si>
  <si>
    <t>City production/consumption</t>
  </si>
  <si>
    <t>Farming production after city production modifier</t>
  </si>
  <si>
    <t>Total kg/day</t>
  </si>
  <si>
    <t>Requirements for selfsustain</t>
  </si>
  <si>
    <t>Farming areal required</t>
  </si>
  <si>
    <t>Per person</t>
  </si>
  <si>
    <t>Animal areal required</t>
  </si>
  <si>
    <t>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</si>
</sst>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1" fillId="0" borderId="0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7" xfId="0" applyFont="1" applyBorder="1"/>
    <xf numFmtId="0" fontId="0" fillId="0" borderId="8" xfId="0" applyBorder="1"/>
    <xf numFmtId="9" fontId="0" fillId="0" borderId="0" xfId="0" applyNumberFormat="1" applyBorder="1"/>
    <xf numFmtId="9" fontId="0" fillId="0" borderId="5" xfId="0" applyNumberFormat="1" applyBorder="1"/>
    <xf numFmtId="9" fontId="0" fillId="0" borderId="7" xfId="0" applyNumberFormat="1" applyBorder="1"/>
    <xf numFmtId="9" fontId="0" fillId="0" borderId="8" xfId="0" applyNumberFormat="1" applyBorder="1"/>
    <xf numFmtId="3" fontId="0" fillId="0" borderId="5" xfId="0" applyNumberFormat="1" applyBorder="1"/>
    <xf numFmtId="3" fontId="0" fillId="0" borderId="8" xfId="0" applyNumberFormat="1" applyBorder="1"/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5" xfId="0" applyFont="1" applyBorder="1"/>
    <xf numFmtId="0" fontId="1" fillId="0" borderId="8" xfId="0" applyFont="1" applyBorder="1"/>
    <xf numFmtId="0" fontId="0" fillId="0" borderId="7" xfId="0" applyBorder="1" applyAlignment="1">
      <alignment horizontal="center"/>
    </xf>
    <xf numFmtId="0" fontId="0" fillId="0" borderId="1" xfId="0" applyFont="1" applyBorder="1"/>
    <xf numFmtId="0" fontId="0" fillId="0" borderId="6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1" fontId="0" fillId="0" borderId="0" xfId="0" applyNumberFormat="1"/>
    <xf numFmtId="43" fontId="0" fillId="0" borderId="0" xfId="1" applyFont="1"/>
    <xf numFmtId="43" fontId="0" fillId="0" borderId="0" xfId="1" applyFont="1" applyBorder="1"/>
    <xf numFmtId="0" fontId="0" fillId="0" borderId="0" xfId="0" applyFill="1" applyBorder="1"/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4" xfId="0" applyFill="1" applyBorder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1" applyNumberFormat="1" applyFont="1" applyBorder="1"/>
    <xf numFmtId="9" fontId="0" fillId="0" borderId="0" xfId="2" applyFont="1" applyBorder="1"/>
    <xf numFmtId="164" fontId="0" fillId="0" borderId="7" xfId="1" applyNumberFormat="1" applyFont="1" applyBorder="1"/>
    <xf numFmtId="0" fontId="4" fillId="0" borderId="0" xfId="0" applyFont="1" applyAlignment="1">
      <alignment horizontal="center" vertical="center"/>
    </xf>
    <xf numFmtId="10" fontId="0" fillId="0" borderId="0" xfId="0" applyNumberFormat="1"/>
    <xf numFmtId="0" fontId="5" fillId="0" borderId="4" xfId="0" applyFont="1" applyBorder="1" applyAlignment="1">
      <alignment wrapText="1"/>
    </xf>
    <xf numFmtId="10" fontId="0" fillId="0" borderId="0" xfId="0" applyNumberFormat="1" applyBorder="1"/>
    <xf numFmtId="10" fontId="0" fillId="0" borderId="5" xfId="0" applyNumberFormat="1" applyBorder="1"/>
    <xf numFmtId="0" fontId="5" fillId="0" borderId="6" xfId="0" applyFont="1" applyBorder="1" applyAlignment="1">
      <alignment wrapText="1"/>
    </xf>
    <xf numFmtId="10" fontId="0" fillId="0" borderId="7" xfId="0" applyNumberFormat="1" applyBorder="1"/>
    <xf numFmtId="10" fontId="0" fillId="0" borderId="8" xfId="0" applyNumberFormat="1" applyBorder="1"/>
    <xf numFmtId="0" fontId="1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Z70"/>
  <sheetViews>
    <sheetView tabSelected="1" topLeftCell="C10" workbookViewId="0">
      <selection activeCell="U58" sqref="U58"/>
    </sheetView>
  </sheetViews>
  <sheetFormatPr defaultRowHeight="15" x14ac:dyDescent="0.25"/>
  <cols>
    <col min="3" max="3" width="17.140625" bestFit="1" customWidth="1"/>
    <col min="4" max="4" width="13.7109375" customWidth="1"/>
    <col min="5" max="5" width="11.85546875" customWidth="1"/>
    <col min="6" max="6" width="12.85546875" bestFit="1" customWidth="1"/>
    <col min="8" max="8" width="15.140625" bestFit="1" customWidth="1"/>
    <col min="9" max="9" width="18.140625" bestFit="1" customWidth="1"/>
    <col min="10" max="10" width="12.42578125" bestFit="1" customWidth="1"/>
    <col min="11" max="12" width="15.5703125" bestFit="1" customWidth="1"/>
    <col min="13" max="14" width="15.5703125" customWidth="1"/>
    <col min="15" max="15" width="19.42578125" bestFit="1" customWidth="1"/>
    <col min="16" max="16" width="22.140625" customWidth="1"/>
    <col min="17" max="17" width="14" customWidth="1"/>
    <col min="18" max="18" width="15.85546875" bestFit="1" customWidth="1"/>
    <col min="19" max="19" width="17.85546875" bestFit="1" customWidth="1"/>
    <col min="20" max="20" width="16" bestFit="1" customWidth="1"/>
    <col min="21" max="23" width="15.5703125" bestFit="1" customWidth="1"/>
    <col min="24" max="24" width="10.7109375" bestFit="1" customWidth="1"/>
  </cols>
  <sheetData>
    <row r="2" spans="3:26" x14ac:dyDescent="0.25">
      <c r="C2" s="81" t="s">
        <v>152</v>
      </c>
      <c r="D2" s="82"/>
      <c r="E2" s="82"/>
      <c r="F2" s="82"/>
      <c r="G2" s="82"/>
      <c r="H2" s="3"/>
      <c r="I2" s="3"/>
      <c r="J2" s="3"/>
      <c r="K2" s="3"/>
      <c r="L2" s="3"/>
      <c r="M2" s="3"/>
      <c r="N2" s="4"/>
    </row>
    <row r="3" spans="3:26" x14ac:dyDescent="0.25">
      <c r="C3" s="83"/>
      <c r="D3" s="84"/>
      <c r="E3" s="84"/>
      <c r="F3" s="84"/>
      <c r="G3" s="84"/>
      <c r="H3" s="6"/>
      <c r="I3" s="6"/>
      <c r="J3" s="6"/>
      <c r="K3" s="6"/>
      <c r="L3" s="6"/>
      <c r="M3" s="6"/>
      <c r="N3" s="8"/>
    </row>
    <row r="4" spans="3:26" x14ac:dyDescent="0.25">
      <c r="C4" s="5"/>
      <c r="D4" s="44" t="s">
        <v>73</v>
      </c>
      <c r="E4" s="45"/>
      <c r="F4" s="6"/>
      <c r="G4" s="6"/>
      <c r="H4" s="53" t="s">
        <v>74</v>
      </c>
      <c r="I4" s="54"/>
      <c r="J4" s="54"/>
      <c r="K4" s="54"/>
      <c r="L4" s="52" t="s">
        <v>71</v>
      </c>
      <c r="M4" s="52"/>
      <c r="N4" s="79"/>
      <c r="O4" s="26"/>
      <c r="Q4" s="44" t="s">
        <v>72</v>
      </c>
      <c r="R4" s="51"/>
      <c r="S4" s="51"/>
      <c r="T4" s="45"/>
      <c r="W4" s="1" t="s">
        <v>41</v>
      </c>
      <c r="X4" t="s">
        <v>66</v>
      </c>
      <c r="Y4" t="s">
        <v>64</v>
      </c>
      <c r="Z4" t="s">
        <v>65</v>
      </c>
    </row>
    <row r="5" spans="3:26" x14ac:dyDescent="0.25">
      <c r="C5" s="5"/>
      <c r="D5" s="2"/>
      <c r="E5" s="4" t="s">
        <v>3</v>
      </c>
      <c r="F5" s="6"/>
      <c r="G5" s="6"/>
      <c r="H5" s="2" t="s">
        <v>8</v>
      </c>
      <c r="I5" s="3" t="s">
        <v>10</v>
      </c>
      <c r="J5" s="35" t="s">
        <v>100</v>
      </c>
      <c r="K5" s="4" t="s">
        <v>11</v>
      </c>
      <c r="L5" s="2" t="s">
        <v>10</v>
      </c>
      <c r="M5" s="35" t="s">
        <v>100</v>
      </c>
      <c r="N5" s="4" t="s">
        <v>11</v>
      </c>
      <c r="Q5" s="2" t="s">
        <v>67</v>
      </c>
      <c r="R5" s="3" t="s">
        <v>69</v>
      </c>
      <c r="S5" s="3" t="s">
        <v>70</v>
      </c>
      <c r="T5" s="4" t="s">
        <v>68</v>
      </c>
      <c r="W5" t="s">
        <v>42</v>
      </c>
      <c r="X5">
        <f>V52+V53+Q20+W58+W59</f>
        <v>363</v>
      </c>
      <c r="Y5">
        <f>ROUNDUP(X5*1.2,0)</f>
        <v>436</v>
      </c>
    </row>
    <row r="6" spans="3:26" x14ac:dyDescent="0.25">
      <c r="C6" s="5"/>
      <c r="D6" s="5" t="s">
        <v>0</v>
      </c>
      <c r="E6" s="8">
        <v>3589</v>
      </c>
      <c r="F6" s="6"/>
      <c r="G6" s="6"/>
      <c r="H6" s="5" t="s">
        <v>5</v>
      </c>
      <c r="I6" s="13">
        <v>0.7</v>
      </c>
      <c r="J6" s="13">
        <v>0.6</v>
      </c>
      <c r="K6" s="14">
        <v>0.4</v>
      </c>
      <c r="L6" s="5">
        <f>E19*I6</f>
        <v>2100</v>
      </c>
      <c r="M6" s="5">
        <f>E20*J6</f>
        <v>1920</v>
      </c>
      <c r="N6" s="8">
        <f>E21*K6</f>
        <v>1400</v>
      </c>
      <c r="Q6" s="5" t="s">
        <v>10</v>
      </c>
      <c r="R6" s="6">
        <v>3.4700000000000002E-2</v>
      </c>
      <c r="S6" s="6">
        <v>1.2500000000000001E-2</v>
      </c>
      <c r="T6" s="8">
        <f>ROUNDUP((R6-S6)*E6,0)</f>
        <v>80</v>
      </c>
      <c r="W6" t="s">
        <v>43</v>
      </c>
      <c r="Y6">
        <f>ROUNDUP(J32/200,0)</f>
        <v>6</v>
      </c>
      <c r="Z6">
        <f>3*Y6</f>
        <v>18</v>
      </c>
    </row>
    <row r="7" spans="3:26" x14ac:dyDescent="0.25">
      <c r="C7" s="5"/>
      <c r="D7" s="6" t="s">
        <v>101</v>
      </c>
      <c r="E7" s="6">
        <v>1278</v>
      </c>
      <c r="F7" s="6"/>
      <c r="G7" s="6"/>
      <c r="H7" s="5" t="s">
        <v>6</v>
      </c>
      <c r="I7" s="13">
        <v>0.25</v>
      </c>
      <c r="J7" s="13">
        <v>0.3</v>
      </c>
      <c r="K7" s="14">
        <v>0.3</v>
      </c>
      <c r="L7" s="5">
        <f>E19*I7</f>
        <v>750</v>
      </c>
      <c r="M7" s="5">
        <f>E20*J7</f>
        <v>960</v>
      </c>
      <c r="N7" s="8">
        <f>E21*K7</f>
        <v>1050</v>
      </c>
      <c r="Q7" t="s">
        <v>100</v>
      </c>
      <c r="R7">
        <v>2.98E-2</v>
      </c>
      <c r="S7">
        <v>1.03E-2</v>
      </c>
      <c r="T7" s="8">
        <f>ROUNDUP((R7-S7)*E7,0)</f>
        <v>25</v>
      </c>
      <c r="W7" t="s">
        <v>57</v>
      </c>
      <c r="Y7">
        <f>ROUNDUP((S13/365)/2,0)</f>
        <v>21</v>
      </c>
      <c r="Z7">
        <f>Y7*3</f>
        <v>63</v>
      </c>
    </row>
    <row r="8" spans="3:26" x14ac:dyDescent="0.25">
      <c r="C8" s="5"/>
      <c r="D8" s="5" t="s">
        <v>1</v>
      </c>
      <c r="E8" s="8">
        <v>663</v>
      </c>
      <c r="F8" s="6"/>
      <c r="G8" s="6"/>
      <c r="H8" s="5" t="s">
        <v>9</v>
      </c>
      <c r="I8" s="13">
        <v>0.05</v>
      </c>
      <c r="J8" s="13">
        <v>0.1</v>
      </c>
      <c r="K8" s="14">
        <v>0.3</v>
      </c>
      <c r="L8" s="5">
        <f>E19*I8</f>
        <v>150</v>
      </c>
      <c r="M8" s="5">
        <f>E20*J8</f>
        <v>320</v>
      </c>
      <c r="N8" s="8">
        <f>E21*K8</f>
        <v>1050</v>
      </c>
      <c r="Q8" s="9" t="s">
        <v>11</v>
      </c>
      <c r="R8" s="10">
        <v>2.46E-2</v>
      </c>
      <c r="S8" s="10">
        <v>9.8499999999999994E-3</v>
      </c>
      <c r="T8" s="12">
        <f>ROUNDUP((R8-S8)*E8,0)</f>
        <v>10</v>
      </c>
      <c r="W8" t="s">
        <v>44</v>
      </c>
      <c r="Y8">
        <f>ROUNDUP((S14/2),0)</f>
        <v>12</v>
      </c>
      <c r="Z8">
        <f>Y8*3</f>
        <v>36</v>
      </c>
    </row>
    <row r="9" spans="3:26" x14ac:dyDescent="0.25">
      <c r="C9" s="5"/>
      <c r="D9" s="35" t="s">
        <v>133</v>
      </c>
      <c r="E9" s="6">
        <v>39</v>
      </c>
      <c r="F9" s="6"/>
      <c r="G9" s="6"/>
      <c r="H9" s="9" t="s">
        <v>2</v>
      </c>
      <c r="I9" s="15">
        <f t="shared" ref="I9:N9" si="0">SUM(I6:I8)</f>
        <v>1</v>
      </c>
      <c r="J9" s="15">
        <f t="shared" si="0"/>
        <v>0.99999999999999989</v>
      </c>
      <c r="K9" s="16">
        <f t="shared" si="0"/>
        <v>1</v>
      </c>
      <c r="L9" s="9">
        <f t="shared" si="0"/>
        <v>3000</v>
      </c>
      <c r="M9" s="9">
        <f t="shared" si="0"/>
        <v>3200</v>
      </c>
      <c r="N9" s="12">
        <f t="shared" si="0"/>
        <v>3500</v>
      </c>
      <c r="W9" t="s">
        <v>45</v>
      </c>
      <c r="Y9">
        <f>ROUNDUP(X5/25,0)</f>
        <v>15</v>
      </c>
      <c r="Z9">
        <f>Y9*3</f>
        <v>45</v>
      </c>
    </row>
    <row r="10" spans="3:26" x14ac:dyDescent="0.25">
      <c r="C10" s="5"/>
      <c r="D10" s="9" t="s">
        <v>2</v>
      </c>
      <c r="E10" s="12">
        <f>SUM(E6:E9)</f>
        <v>5569</v>
      </c>
      <c r="F10" s="6"/>
      <c r="G10" s="6"/>
      <c r="H10" s="6"/>
      <c r="I10" s="6"/>
      <c r="J10" s="6"/>
      <c r="K10" s="6"/>
      <c r="L10" s="6"/>
      <c r="M10" s="6"/>
      <c r="N10" s="8"/>
      <c r="P10" s="44" t="s">
        <v>30</v>
      </c>
      <c r="Q10" s="51"/>
      <c r="R10" s="51"/>
      <c r="S10" s="51"/>
      <c r="T10" s="45"/>
      <c r="W10" t="s">
        <v>54</v>
      </c>
      <c r="Y10">
        <f>ROUNDUP(S12/35,0)</f>
        <v>33</v>
      </c>
      <c r="Z10">
        <f>Y10*3</f>
        <v>99</v>
      </c>
    </row>
    <row r="11" spans="3:26" x14ac:dyDescent="0.25">
      <c r="C11" s="5"/>
      <c r="D11" s="6"/>
      <c r="E11" s="6"/>
      <c r="F11" s="6"/>
      <c r="G11" s="6"/>
      <c r="H11" s="44" t="s">
        <v>80</v>
      </c>
      <c r="I11" s="51"/>
      <c r="J11" s="51"/>
      <c r="K11" s="51"/>
      <c r="L11" s="45"/>
      <c r="M11" s="37"/>
      <c r="N11" s="80"/>
      <c r="P11" s="2" t="s">
        <v>30</v>
      </c>
      <c r="Q11" s="3"/>
      <c r="R11" s="3"/>
      <c r="S11" s="3" t="s">
        <v>35</v>
      </c>
      <c r="T11" s="4"/>
      <c r="W11" t="s">
        <v>55</v>
      </c>
      <c r="Y11">
        <f>ROUNDUP(E6*0.02,0)</f>
        <v>72</v>
      </c>
      <c r="Z11">
        <f>ROUNDUP(E6*0.1,0)</f>
        <v>359</v>
      </c>
    </row>
    <row r="12" spans="3:26" x14ac:dyDescent="0.25">
      <c r="C12" s="5"/>
      <c r="D12" s="27" t="s">
        <v>75</v>
      </c>
      <c r="E12" s="29"/>
      <c r="F12" s="6"/>
      <c r="G12" s="6"/>
      <c r="H12" s="30" t="s">
        <v>89</v>
      </c>
      <c r="I12" s="31" t="s">
        <v>94</v>
      </c>
      <c r="J12" s="31" t="s">
        <v>93</v>
      </c>
      <c r="K12" s="3" t="s">
        <v>14</v>
      </c>
      <c r="L12" s="4" t="s">
        <v>40</v>
      </c>
      <c r="M12" s="6"/>
      <c r="N12" s="8"/>
      <c r="P12" s="5" t="s">
        <v>31</v>
      </c>
      <c r="Q12" s="6">
        <v>4</v>
      </c>
      <c r="R12" s="6" t="s">
        <v>33</v>
      </c>
      <c r="S12" s="7">
        <f>(U58*I43)*Q12</f>
        <v>1129</v>
      </c>
      <c r="T12" s="8" t="s">
        <v>33</v>
      </c>
      <c r="W12" t="s">
        <v>56</v>
      </c>
      <c r="Y12">
        <f>ROUNDUP((T6/20)+(T7/15)+(T8/10),0)</f>
        <v>7</v>
      </c>
    </row>
    <row r="13" spans="3:26" x14ac:dyDescent="0.25">
      <c r="C13" s="5"/>
      <c r="D13" s="2" t="s">
        <v>4</v>
      </c>
      <c r="E13" s="4" t="s">
        <v>7</v>
      </c>
      <c r="F13" s="6"/>
      <c r="G13" s="6"/>
      <c r="H13" s="5" t="s">
        <v>5</v>
      </c>
      <c r="I13" s="6">
        <f>((E6*L6)/E14)+((E8*N6)/E14)+((E7*M6)/E14)</f>
        <v>272.97149999999999</v>
      </c>
      <c r="J13" s="7">
        <f>ROUNDUP(I13*2,0)</f>
        <v>546</v>
      </c>
      <c r="K13" s="7">
        <f>ROUNDUP((J13/(H25*20))*2,0)</f>
        <v>137</v>
      </c>
      <c r="L13" s="19">
        <f>(K13/2)*4</f>
        <v>274</v>
      </c>
      <c r="M13" s="36"/>
      <c r="N13" s="19"/>
      <c r="P13" s="5" t="s">
        <v>32</v>
      </c>
      <c r="Q13" s="6">
        <v>8</v>
      </c>
      <c r="R13" s="6" t="s">
        <v>34</v>
      </c>
      <c r="S13" s="7">
        <f>U59*Q13</f>
        <v>14912</v>
      </c>
      <c r="T13" s="8" t="s">
        <v>34</v>
      </c>
      <c r="W13" t="s">
        <v>58</v>
      </c>
      <c r="Y13">
        <f>ROUNDUP((T6/20)+(T7/15)+(T8/10),0)</f>
        <v>7</v>
      </c>
    </row>
    <row r="14" spans="3:26" x14ac:dyDescent="0.25">
      <c r="C14" s="5"/>
      <c r="D14" s="5" t="s">
        <v>5</v>
      </c>
      <c r="E14" s="17">
        <v>40000</v>
      </c>
      <c r="F14" s="6"/>
      <c r="G14" s="6"/>
      <c r="H14" s="9" t="s">
        <v>6</v>
      </c>
      <c r="I14" s="10">
        <f>((E6*L7)/E15)+((E8*N7)/E15)+((E7*M7)/E15)</f>
        <v>102.55066666666667</v>
      </c>
      <c r="J14" s="11">
        <f>ROUNDUP(I14*2,0)</f>
        <v>206</v>
      </c>
      <c r="K14" s="11">
        <f>ROUNDUP((J14/(H25*20))*2,0)</f>
        <v>52</v>
      </c>
      <c r="L14" s="20">
        <f>(K14/2)*4</f>
        <v>104</v>
      </c>
      <c r="M14" s="36"/>
      <c r="N14" s="19"/>
      <c r="P14" s="9" t="s">
        <v>46</v>
      </c>
      <c r="Q14" s="10">
        <v>30</v>
      </c>
      <c r="R14" s="10" t="s">
        <v>17</v>
      </c>
      <c r="S14" s="11">
        <f>ROUNDDOWN(Q14/(E25/Q55),1)</f>
        <v>23.1</v>
      </c>
      <c r="T14" s="12" t="s">
        <v>47</v>
      </c>
      <c r="W14" t="s">
        <v>59</v>
      </c>
    </row>
    <row r="15" spans="3:26" x14ac:dyDescent="0.25">
      <c r="C15" s="5"/>
      <c r="D15" s="9" t="s">
        <v>6</v>
      </c>
      <c r="E15" s="18">
        <v>45000</v>
      </c>
      <c r="F15" s="6"/>
      <c r="G15" s="6"/>
      <c r="H15" s="6"/>
      <c r="I15" s="6"/>
      <c r="J15" s="6"/>
      <c r="K15" s="6"/>
      <c r="L15" s="6"/>
      <c r="M15" s="6"/>
      <c r="N15" s="8"/>
      <c r="W15" t="s">
        <v>60</v>
      </c>
      <c r="X15">
        <v>0</v>
      </c>
      <c r="Y15">
        <f>ROUNDDOWN(SUM(E7:E8)/1500,0)</f>
        <v>1</v>
      </c>
      <c r="Z15">
        <f>ROUNDUP(SUM(E7:E8)/500,0)</f>
        <v>4</v>
      </c>
    </row>
    <row r="16" spans="3:26" x14ac:dyDescent="0.25">
      <c r="C16" s="5"/>
      <c r="D16" s="6"/>
      <c r="E16" s="6"/>
      <c r="F16" s="6"/>
      <c r="G16" s="6"/>
      <c r="H16" s="44" t="s">
        <v>81</v>
      </c>
      <c r="I16" s="51"/>
      <c r="J16" s="51"/>
      <c r="K16" s="45"/>
      <c r="L16" s="6"/>
      <c r="M16" s="6"/>
      <c r="N16" s="8"/>
      <c r="P16" s="44" t="s">
        <v>84</v>
      </c>
      <c r="Q16" s="51"/>
      <c r="R16" s="51"/>
      <c r="S16" s="51"/>
      <c r="T16" s="45"/>
      <c r="W16" t="s">
        <v>61</v>
      </c>
      <c r="Y16">
        <f>ROUNDUP((E6/500)+(E7/100)+(E8/250),0)</f>
        <v>23</v>
      </c>
    </row>
    <row r="17" spans="3:26" x14ac:dyDescent="0.25">
      <c r="C17" s="5"/>
      <c r="D17" s="27" t="s">
        <v>76</v>
      </c>
      <c r="E17" s="29"/>
      <c r="F17" s="6"/>
      <c r="G17" s="6"/>
      <c r="H17" s="2"/>
      <c r="I17" s="3" t="s">
        <v>24</v>
      </c>
      <c r="J17" s="3" t="s">
        <v>25</v>
      </c>
      <c r="K17" s="4" t="s">
        <v>14</v>
      </c>
      <c r="L17" s="6"/>
      <c r="M17" s="6"/>
      <c r="N17" s="8"/>
      <c r="P17" s="55" t="s">
        <v>48</v>
      </c>
      <c r="Q17" s="56"/>
      <c r="R17" s="56"/>
      <c r="S17" s="56"/>
      <c r="T17" s="57"/>
      <c r="W17" t="s">
        <v>62</v>
      </c>
      <c r="Y17">
        <f>ROUNDUP((E6/1000)+(E7/200)+(E8/150),0)</f>
        <v>15</v>
      </c>
      <c r="Z17">
        <f>ROUNDUP((E6/300)+(E8/35),0)</f>
        <v>31</v>
      </c>
    </row>
    <row r="18" spans="3:26" x14ac:dyDescent="0.25">
      <c r="C18" s="5"/>
      <c r="D18" s="2" t="s">
        <v>8</v>
      </c>
      <c r="E18" s="4" t="s">
        <v>12</v>
      </c>
      <c r="F18" s="6"/>
      <c r="G18" s="6"/>
      <c r="H18" s="5" t="s">
        <v>15</v>
      </c>
      <c r="I18" s="6">
        <f>ROUNDUP((E35/(E25/(J32*I36))),0)</f>
        <v>672</v>
      </c>
      <c r="J18" s="7">
        <f>ROUNDUP(I18/2,0)</f>
        <v>336</v>
      </c>
      <c r="K18" s="21">
        <f>ROUNDUP(I18/100,0)</f>
        <v>7</v>
      </c>
      <c r="L18" s="6"/>
      <c r="M18" s="6"/>
      <c r="N18" s="8"/>
      <c r="P18" s="5" t="s">
        <v>49</v>
      </c>
      <c r="Q18" s="6">
        <v>45</v>
      </c>
      <c r="R18" s="6" t="s">
        <v>50</v>
      </c>
      <c r="S18" s="6">
        <f>45/60</f>
        <v>0.75</v>
      </c>
      <c r="T18" s="8" t="s">
        <v>51</v>
      </c>
      <c r="W18" t="s">
        <v>63</v>
      </c>
      <c r="Y18">
        <f>ROUNDUP(E10/200,0)</f>
        <v>28</v>
      </c>
      <c r="Z18">
        <f>ROUNDUP(E10/100,0)</f>
        <v>56</v>
      </c>
    </row>
    <row r="19" spans="3:26" x14ac:dyDescent="0.25">
      <c r="C19" s="5"/>
      <c r="D19" s="5" t="s">
        <v>10</v>
      </c>
      <c r="E19" s="8">
        <v>3000</v>
      </c>
      <c r="F19" s="6"/>
      <c r="G19" s="6"/>
      <c r="H19" s="5" t="s">
        <v>23</v>
      </c>
      <c r="I19" s="6">
        <f>ROUNDUP((E36/(E26/(J32*I37))),0)</f>
        <v>1109</v>
      </c>
      <c r="J19" s="7">
        <f>ROUNDUP(I19/15,0)</f>
        <v>74</v>
      </c>
      <c r="K19" s="21">
        <f>ROUNDUP(I19/100,0)</f>
        <v>12</v>
      </c>
      <c r="L19" s="6"/>
      <c r="M19" s="6"/>
      <c r="N19" s="8"/>
      <c r="P19" s="5" t="s">
        <v>52</v>
      </c>
      <c r="Q19" s="6">
        <v>4</v>
      </c>
      <c r="R19" s="6" t="s">
        <v>51</v>
      </c>
      <c r="S19" s="6"/>
      <c r="T19" s="8"/>
      <c r="W19" t="s">
        <v>85</v>
      </c>
      <c r="Y19">
        <f>ROUNDDOWN(E6/3000,0)+ROUNDUP((E8+E7)/150,0)</f>
        <v>14</v>
      </c>
    </row>
    <row r="20" spans="3:26" x14ac:dyDescent="0.25">
      <c r="C20" s="5"/>
      <c r="D20" s="35" t="s">
        <v>100</v>
      </c>
      <c r="E20" s="6">
        <v>3200</v>
      </c>
      <c r="F20" s="6"/>
      <c r="G20" s="6"/>
      <c r="H20" s="9" t="s">
        <v>27</v>
      </c>
      <c r="I20" s="10"/>
      <c r="J20" s="10">
        <f t="shared" ref="J20" si="1">ROUNDUP(I20/2,0)</f>
        <v>0</v>
      </c>
      <c r="K20" s="12">
        <f>ROUNDUP(I20/100,0)</f>
        <v>0</v>
      </c>
      <c r="L20" s="6"/>
      <c r="M20" s="6"/>
      <c r="N20" s="8"/>
      <c r="P20" s="9" t="s">
        <v>53</v>
      </c>
      <c r="Q20" s="11">
        <f>ROUNDUP(((J43*S18)/Q19),0)</f>
        <v>32</v>
      </c>
      <c r="R20" s="10"/>
      <c r="S20" s="10"/>
      <c r="T20" s="12"/>
      <c r="W20" t="s">
        <v>86</v>
      </c>
      <c r="Y20">
        <f>ROUNDUP(E10/300,0)</f>
        <v>19</v>
      </c>
      <c r="Z20">
        <f>Y20*5</f>
        <v>95</v>
      </c>
    </row>
    <row r="21" spans="3:26" x14ac:dyDescent="0.25">
      <c r="C21" s="5"/>
      <c r="D21" s="9" t="s">
        <v>11</v>
      </c>
      <c r="E21" s="12">
        <v>3500</v>
      </c>
      <c r="F21" s="6"/>
      <c r="G21" s="6"/>
      <c r="H21" s="6"/>
      <c r="I21" s="6"/>
      <c r="J21" s="6"/>
      <c r="K21" s="6"/>
      <c r="L21" s="6"/>
      <c r="M21" s="6"/>
      <c r="N21" s="8"/>
      <c r="W21" t="s">
        <v>87</v>
      </c>
    </row>
    <row r="22" spans="3:26" x14ac:dyDescent="0.25">
      <c r="C22" s="5"/>
      <c r="D22" s="6"/>
      <c r="E22" s="6"/>
      <c r="F22" s="6"/>
      <c r="G22" s="6"/>
      <c r="H22" s="46" t="s">
        <v>13</v>
      </c>
      <c r="I22" s="47"/>
      <c r="J22" s="50"/>
      <c r="K22" s="6"/>
      <c r="L22" s="6"/>
      <c r="M22" s="6"/>
      <c r="N22" s="8"/>
      <c r="S22" s="40"/>
      <c r="W22" t="s">
        <v>99</v>
      </c>
      <c r="Y22">
        <f>ROUNDUP((R33*3)+(R34*5),0)</f>
        <v>1607</v>
      </c>
    </row>
    <row r="23" spans="3:26" x14ac:dyDescent="0.25">
      <c r="C23" s="5"/>
      <c r="D23" s="27" t="s">
        <v>77</v>
      </c>
      <c r="E23" s="28"/>
      <c r="F23" s="29"/>
      <c r="G23" s="6"/>
      <c r="H23" s="58" t="s">
        <v>82</v>
      </c>
      <c r="I23" s="59"/>
      <c r="J23" s="60"/>
      <c r="K23" s="6"/>
      <c r="L23" s="6"/>
      <c r="M23" s="6"/>
      <c r="N23" s="8"/>
      <c r="P23" s="49" t="s">
        <v>88</v>
      </c>
      <c r="Q23" s="49"/>
      <c r="R23" s="49"/>
      <c r="S23" s="49"/>
      <c r="T23" s="49"/>
      <c r="U23" s="49"/>
      <c r="W23" t="s">
        <v>120</v>
      </c>
    </row>
    <row r="24" spans="3:26" x14ac:dyDescent="0.25">
      <c r="C24" s="5"/>
      <c r="D24" s="24" t="s">
        <v>9</v>
      </c>
      <c r="E24" s="3" t="s">
        <v>16</v>
      </c>
      <c r="F24" s="4"/>
      <c r="G24" s="6"/>
      <c r="H24" s="58"/>
      <c r="I24" s="59"/>
      <c r="J24" s="60"/>
      <c r="K24" s="6"/>
      <c r="L24" s="6"/>
      <c r="M24" s="6"/>
      <c r="N24" s="8"/>
      <c r="P24" t="s">
        <v>89</v>
      </c>
      <c r="Q24" t="s">
        <v>90</v>
      </c>
      <c r="R24" t="s">
        <v>121</v>
      </c>
      <c r="S24" t="s">
        <v>147</v>
      </c>
    </row>
    <row r="25" spans="3:26" x14ac:dyDescent="0.25">
      <c r="C25" s="5"/>
      <c r="D25" s="5" t="s">
        <v>15</v>
      </c>
      <c r="E25" s="6">
        <v>1100</v>
      </c>
      <c r="F25" s="8" t="s">
        <v>17</v>
      </c>
      <c r="G25" s="6"/>
      <c r="H25" s="61">
        <v>0.4</v>
      </c>
      <c r="I25" s="62"/>
      <c r="J25" s="63"/>
      <c r="K25" s="6"/>
      <c r="L25" s="6"/>
      <c r="M25" s="6"/>
      <c r="N25" s="8"/>
      <c r="P25" t="s">
        <v>106</v>
      </c>
      <c r="Q25">
        <f>ROUNDUP(SUM(U32:U34)*4,0)</f>
        <v>89</v>
      </c>
      <c r="R25" s="32">
        <f>SQRT((Q25*10000))</f>
        <v>943.39811320566037</v>
      </c>
      <c r="S25">
        <f>ROUNDUP(SQRT((Q25*10000)/2*PI()),0)</f>
        <v>1183</v>
      </c>
    </row>
    <row r="26" spans="3:26" x14ac:dyDescent="0.25">
      <c r="C26" s="5"/>
      <c r="D26" s="9" t="s">
        <v>19</v>
      </c>
      <c r="E26" s="10">
        <v>100</v>
      </c>
      <c r="F26" s="12" t="s">
        <v>17</v>
      </c>
      <c r="G26" s="6"/>
      <c r="H26" s="6"/>
      <c r="I26" s="6"/>
      <c r="J26" s="6"/>
      <c r="K26" s="6"/>
      <c r="L26" s="6"/>
      <c r="M26" s="6"/>
      <c r="N26" s="8"/>
      <c r="P26" t="s">
        <v>92</v>
      </c>
      <c r="Q26">
        <f>J13+J14+J18+J19+J20</f>
        <v>1162</v>
      </c>
      <c r="R26" s="32">
        <f>SQRT((Q26*10000))</f>
        <v>3408.8121098118622</v>
      </c>
    </row>
    <row r="27" spans="3:26" x14ac:dyDescent="0.25">
      <c r="C27" s="5"/>
      <c r="D27" s="6"/>
      <c r="E27" s="6"/>
      <c r="F27" s="6"/>
      <c r="G27" s="6"/>
      <c r="H27" s="46" t="s">
        <v>22</v>
      </c>
      <c r="I27" s="47"/>
      <c r="J27" s="50"/>
      <c r="K27" s="6"/>
      <c r="L27" s="6"/>
      <c r="M27" s="6"/>
      <c r="N27" s="8"/>
      <c r="P27" t="s">
        <v>2</v>
      </c>
      <c r="Q27" s="1">
        <f>SUM(Q25:Q26)</f>
        <v>1251</v>
      </c>
      <c r="R27" s="32"/>
    </row>
    <row r="28" spans="3:26" x14ac:dyDescent="0.25">
      <c r="C28" s="5"/>
      <c r="D28" s="27" t="s">
        <v>78</v>
      </c>
      <c r="E28" s="28"/>
      <c r="F28" s="29"/>
      <c r="G28" s="6"/>
      <c r="H28" t="s">
        <v>89</v>
      </c>
      <c r="I28" t="s">
        <v>154</v>
      </c>
      <c r="J28" t="s">
        <v>2</v>
      </c>
      <c r="K28" s="6"/>
      <c r="L28" s="6"/>
      <c r="M28" s="6"/>
      <c r="N28" s="8"/>
    </row>
    <row r="29" spans="3:26" x14ac:dyDescent="0.25">
      <c r="C29" s="5"/>
      <c r="D29" s="2" t="s">
        <v>18</v>
      </c>
      <c r="E29" s="3" t="s">
        <v>20</v>
      </c>
      <c r="F29" s="4" t="s">
        <v>21</v>
      </c>
      <c r="G29" s="6"/>
      <c r="H29" s="5" t="s">
        <v>10</v>
      </c>
      <c r="I29" s="6">
        <f>ROUNDUP(L8/F30,1)</f>
        <v>0.1</v>
      </c>
      <c r="J29" s="21">
        <f>I29*E6</f>
        <v>358.90000000000003</v>
      </c>
      <c r="K29" s="6"/>
      <c r="L29" s="6"/>
      <c r="M29" s="6"/>
      <c r="N29" s="8"/>
    </row>
    <row r="30" spans="3:26" x14ac:dyDescent="0.25">
      <c r="C30" s="5"/>
      <c r="D30" s="5" t="s">
        <v>15</v>
      </c>
      <c r="E30" s="6">
        <v>180</v>
      </c>
      <c r="F30" s="8">
        <f>E30*10</f>
        <v>1800</v>
      </c>
      <c r="G30" s="6"/>
      <c r="H30" s="6" t="s">
        <v>100</v>
      </c>
      <c r="I30" s="6">
        <f>ROUNDUP(M8/F31,1)</f>
        <v>0.2</v>
      </c>
      <c r="J30" s="21">
        <f>I30*E7</f>
        <v>255.60000000000002</v>
      </c>
      <c r="K30" s="6"/>
      <c r="L30" s="6"/>
      <c r="M30" s="6"/>
      <c r="N30" s="8"/>
      <c r="P30" s="46" t="s">
        <v>95</v>
      </c>
      <c r="Q30" s="47"/>
      <c r="R30" s="50"/>
      <c r="S30" s="46" t="s">
        <v>98</v>
      </c>
      <c r="T30" s="47"/>
      <c r="U30" s="4"/>
    </row>
    <row r="31" spans="3:26" x14ac:dyDescent="0.25">
      <c r="C31" s="5"/>
      <c r="D31" s="9" t="s">
        <v>19</v>
      </c>
      <c r="E31" s="10">
        <v>180</v>
      </c>
      <c r="F31" s="12">
        <f>E31*10</f>
        <v>1800</v>
      </c>
      <c r="G31" s="6"/>
      <c r="H31" s="5" t="s">
        <v>11</v>
      </c>
      <c r="I31" s="6">
        <f>ROUNDUP(N8/F30,1)</f>
        <v>0.6</v>
      </c>
      <c r="J31" s="21">
        <f>I31*E8</f>
        <v>397.8</v>
      </c>
      <c r="K31" s="6"/>
      <c r="L31" s="6"/>
      <c r="M31" s="6"/>
      <c r="N31" s="8"/>
      <c r="P31" s="5" t="s">
        <v>89</v>
      </c>
      <c r="Q31" s="6" t="s">
        <v>96</v>
      </c>
      <c r="R31" s="8" t="s">
        <v>97</v>
      </c>
      <c r="S31" s="41" t="s">
        <v>103</v>
      </c>
      <c r="T31" s="35" t="s">
        <v>102</v>
      </c>
      <c r="U31" s="8"/>
    </row>
    <row r="32" spans="3:26" x14ac:dyDescent="0.25">
      <c r="C32" s="5"/>
      <c r="D32" s="6"/>
      <c r="E32" s="6"/>
      <c r="F32" s="6"/>
      <c r="G32" s="6"/>
      <c r="H32" s="9" t="s">
        <v>2</v>
      </c>
      <c r="I32" s="10">
        <f>SUM(I29:I31)</f>
        <v>0.9</v>
      </c>
      <c r="J32" s="22">
        <f>SUM(J29:J31)</f>
        <v>1012.3</v>
      </c>
      <c r="K32" s="6"/>
      <c r="L32" s="6"/>
      <c r="M32" s="6"/>
      <c r="N32" s="8"/>
      <c r="P32" s="5" t="s">
        <v>10</v>
      </c>
      <c r="Q32" s="34">
        <v>6.45</v>
      </c>
      <c r="R32" s="8">
        <f>ROUNDUP(E6/Q32,0)</f>
        <v>557</v>
      </c>
      <c r="S32" s="5">
        <v>100</v>
      </c>
      <c r="T32" s="6">
        <f>S32/10000</f>
        <v>0.01</v>
      </c>
      <c r="U32" s="8">
        <f>T32*R32</f>
        <v>5.57</v>
      </c>
    </row>
    <row r="33" spans="3:21" x14ac:dyDescent="0.25">
      <c r="C33" s="5"/>
      <c r="D33" s="27" t="s">
        <v>79</v>
      </c>
      <c r="E33" s="29"/>
      <c r="F33" s="6"/>
      <c r="G33" s="6"/>
      <c r="H33" s="6"/>
      <c r="I33" s="6"/>
      <c r="J33" s="6"/>
      <c r="K33" s="6"/>
      <c r="L33" s="6"/>
      <c r="M33" s="6"/>
      <c r="N33" s="8"/>
      <c r="P33" t="s">
        <v>100</v>
      </c>
      <c r="Q33">
        <v>5.47</v>
      </c>
      <c r="R33" s="8">
        <f>ROUNDUP(E7/Q33,0)</f>
        <v>234</v>
      </c>
      <c r="S33" s="5">
        <v>240</v>
      </c>
      <c r="T33" s="6">
        <f>S33/10000</f>
        <v>2.4E-2</v>
      </c>
      <c r="U33" s="8">
        <f t="shared" ref="U33:U34" si="2">T33*R33</f>
        <v>5.6160000000000005</v>
      </c>
    </row>
    <row r="34" spans="3:21" x14ac:dyDescent="0.25">
      <c r="C34" s="5"/>
      <c r="D34" s="2" t="s">
        <v>28</v>
      </c>
      <c r="E34" s="4" t="s">
        <v>29</v>
      </c>
      <c r="F34" s="6"/>
      <c r="G34" s="6"/>
      <c r="H34" s="6"/>
      <c r="I34" s="6"/>
      <c r="J34" s="6"/>
      <c r="K34" s="6"/>
      <c r="L34" s="6"/>
      <c r="M34" s="6"/>
      <c r="N34" s="8"/>
      <c r="P34" s="5" t="s">
        <v>11</v>
      </c>
      <c r="Q34" s="34">
        <v>3.67</v>
      </c>
      <c r="R34" s="8">
        <f>ROUNDUP(E8/Q34,0)</f>
        <v>181</v>
      </c>
      <c r="S34" s="9">
        <v>600</v>
      </c>
      <c r="T34" s="10">
        <f>S34/10000</f>
        <v>0.06</v>
      </c>
      <c r="U34" s="12">
        <f t="shared" si="2"/>
        <v>10.86</v>
      </c>
    </row>
    <row r="35" spans="3:21" x14ac:dyDescent="0.25">
      <c r="C35" s="5"/>
      <c r="D35" s="5" t="s">
        <v>15</v>
      </c>
      <c r="E35" s="8">
        <v>1460</v>
      </c>
      <c r="F35" s="6"/>
      <c r="G35" s="6"/>
      <c r="H35" s="46" t="s">
        <v>26</v>
      </c>
      <c r="I35" s="47"/>
      <c r="J35" s="50"/>
      <c r="K35" s="6"/>
      <c r="L35" s="6"/>
      <c r="M35" s="6"/>
      <c r="N35" s="8"/>
      <c r="P35" s="25" t="s">
        <v>2</v>
      </c>
      <c r="Q35" s="23"/>
      <c r="R35" s="22">
        <f>SUM(R32:R34)</f>
        <v>972</v>
      </c>
    </row>
    <row r="36" spans="3:21" x14ac:dyDescent="0.25">
      <c r="C36" s="5"/>
      <c r="D36" s="9" t="s">
        <v>23</v>
      </c>
      <c r="E36" s="12">
        <f>365*3</f>
        <v>1095</v>
      </c>
      <c r="F36" s="6"/>
      <c r="G36" s="6"/>
      <c r="H36" s="5" t="s">
        <v>15</v>
      </c>
      <c r="I36" s="13">
        <v>0.5</v>
      </c>
      <c r="J36" s="8"/>
      <c r="K36" s="6"/>
      <c r="L36" s="6"/>
      <c r="M36" s="6"/>
      <c r="N36" s="8"/>
    </row>
    <row r="37" spans="3:21" x14ac:dyDescent="0.25">
      <c r="C37" s="5"/>
      <c r="D37" s="6"/>
      <c r="E37" s="6"/>
      <c r="F37" s="6"/>
      <c r="G37" s="6"/>
      <c r="H37" s="5" t="s">
        <v>19</v>
      </c>
      <c r="I37" s="13">
        <v>0.1</v>
      </c>
      <c r="J37" s="8"/>
      <c r="K37" s="6"/>
      <c r="L37" s="6"/>
      <c r="M37" s="6"/>
      <c r="N37" s="8"/>
    </row>
    <row r="38" spans="3:21" x14ac:dyDescent="0.25">
      <c r="C38" s="5"/>
      <c r="D38" s="6"/>
      <c r="E38" s="6"/>
      <c r="F38" s="6"/>
      <c r="G38" s="6"/>
      <c r="H38" s="9" t="s">
        <v>27</v>
      </c>
      <c r="I38" s="15">
        <v>0.4</v>
      </c>
      <c r="J38" s="12"/>
      <c r="K38" s="6"/>
      <c r="L38" s="6"/>
      <c r="M38" s="6"/>
      <c r="N38" s="8"/>
      <c r="P38" s="48" t="s">
        <v>148</v>
      </c>
      <c r="Q38" s="48"/>
      <c r="R38" s="48"/>
    </row>
    <row r="39" spans="3:21" x14ac:dyDescent="0.25">
      <c r="C39" s="5"/>
      <c r="D39" s="6"/>
      <c r="E39" s="6"/>
      <c r="F39" s="6"/>
      <c r="G39" s="6"/>
      <c r="H39" s="6"/>
      <c r="I39" s="6"/>
      <c r="J39" s="6"/>
      <c r="K39" s="6"/>
      <c r="L39" s="6"/>
      <c r="M39" s="6"/>
      <c r="N39" s="8"/>
      <c r="P39" t="s">
        <v>89</v>
      </c>
      <c r="Q39" t="s">
        <v>104</v>
      </c>
      <c r="R39" t="s">
        <v>105</v>
      </c>
    </row>
    <row r="40" spans="3:21" x14ac:dyDescent="0.25">
      <c r="C40" s="5"/>
      <c r="D40" s="6"/>
      <c r="E40" s="6"/>
      <c r="F40" s="6"/>
      <c r="G40" s="6"/>
      <c r="H40" s="44" t="s">
        <v>83</v>
      </c>
      <c r="I40" s="51"/>
      <c r="J40" s="45"/>
      <c r="K40" s="6"/>
      <c r="L40" s="6"/>
      <c r="M40" s="6"/>
      <c r="N40" s="8"/>
      <c r="P40" t="s">
        <v>5</v>
      </c>
      <c r="Q40">
        <v>14</v>
      </c>
      <c r="R40">
        <f>Q40*I13</f>
        <v>3821.6009999999997</v>
      </c>
    </row>
    <row r="41" spans="3:21" x14ac:dyDescent="0.25">
      <c r="C41" s="5"/>
      <c r="D41" s="6"/>
      <c r="E41" s="6"/>
      <c r="F41" s="6"/>
      <c r="G41" s="6"/>
      <c r="H41" s="2" t="s">
        <v>36</v>
      </c>
      <c r="I41" s="3" t="s">
        <v>39</v>
      </c>
      <c r="J41" s="4"/>
      <c r="K41" s="6"/>
      <c r="L41" s="6"/>
      <c r="M41" s="6"/>
      <c r="N41" s="8"/>
      <c r="P41" t="s">
        <v>6</v>
      </c>
      <c r="Q41">
        <v>16</v>
      </c>
      <c r="R41">
        <f>Q41*I14</f>
        <v>1640.8106666666667</v>
      </c>
    </row>
    <row r="42" spans="3:21" x14ac:dyDescent="0.25">
      <c r="C42" s="5"/>
      <c r="D42" s="6"/>
      <c r="E42" s="6"/>
      <c r="F42" s="6"/>
      <c r="G42" s="6"/>
      <c r="H42" s="5" t="s">
        <v>37</v>
      </c>
      <c r="I42" s="13">
        <v>0.75</v>
      </c>
      <c r="J42" s="8">
        <f>ROUNDUP(I18*I42,0)</f>
        <v>504</v>
      </c>
      <c r="K42" s="6"/>
      <c r="L42" s="6"/>
      <c r="M42" s="6"/>
      <c r="N42" s="8"/>
      <c r="P42" t="s">
        <v>15</v>
      </c>
      <c r="R42">
        <f>J32*I36</f>
        <v>506.15</v>
      </c>
    </row>
    <row r="43" spans="3:21" x14ac:dyDescent="0.25">
      <c r="C43" s="9"/>
      <c r="D43" s="10"/>
      <c r="E43" s="10"/>
      <c r="F43" s="10"/>
      <c r="G43" s="10"/>
      <c r="H43" s="9" t="s">
        <v>38</v>
      </c>
      <c r="I43" s="15">
        <v>0.25</v>
      </c>
      <c r="J43" s="12">
        <f>ROUNDUP(I18*I43,0)</f>
        <v>168</v>
      </c>
      <c r="K43" s="10"/>
      <c r="L43" s="10"/>
      <c r="M43" s="10"/>
      <c r="N43" s="12"/>
      <c r="P43" t="s">
        <v>23</v>
      </c>
      <c r="R43">
        <f>J32*I37</f>
        <v>101.23</v>
      </c>
    </row>
    <row r="45" spans="3:21" x14ac:dyDescent="0.25">
      <c r="M45" s="33"/>
      <c r="P45" s="48" t="s">
        <v>149</v>
      </c>
      <c r="Q45" s="48"/>
      <c r="R45" s="1">
        <v>1.68</v>
      </c>
      <c r="S45" s="39" t="str">
        <f>IF(R45&lt;1,"Importing","Exporting")</f>
        <v>Exporting</v>
      </c>
    </row>
    <row r="47" spans="3:21" x14ac:dyDescent="0.25">
      <c r="C47" s="2"/>
      <c r="D47" s="56" t="s">
        <v>109</v>
      </c>
      <c r="E47" s="56"/>
      <c r="F47" s="56"/>
      <c r="G47" s="56" t="s">
        <v>119</v>
      </c>
      <c r="H47" s="56"/>
      <c r="I47" s="56"/>
      <c r="J47" s="56" t="s">
        <v>122</v>
      </c>
      <c r="K47" s="57"/>
    </row>
    <row r="48" spans="3:21" x14ac:dyDescent="0.25">
      <c r="C48" s="5"/>
      <c r="D48" s="6" t="s">
        <v>107</v>
      </c>
      <c r="E48" s="6" t="s">
        <v>64</v>
      </c>
      <c r="F48" s="6" t="s">
        <v>108</v>
      </c>
      <c r="G48" s="6" t="s">
        <v>10</v>
      </c>
      <c r="H48" s="6" t="s">
        <v>118</v>
      </c>
      <c r="I48" s="6" t="s">
        <v>11</v>
      </c>
      <c r="J48" s="6" t="s">
        <v>64</v>
      </c>
      <c r="K48" s="8" t="s">
        <v>108</v>
      </c>
    </row>
    <row r="49" spans="3:23" x14ac:dyDescent="0.25">
      <c r="C49" s="5">
        <v>0</v>
      </c>
      <c r="D49" s="6" t="s">
        <v>110</v>
      </c>
      <c r="E49" s="68">
        <v>100000</v>
      </c>
      <c r="F49" s="68">
        <v>1000000</v>
      </c>
      <c r="G49" s="69">
        <v>0.4</v>
      </c>
      <c r="H49" s="69">
        <v>0.25</v>
      </c>
      <c r="I49" s="69">
        <v>0.35</v>
      </c>
      <c r="J49" s="6">
        <v>0.3</v>
      </c>
      <c r="K49" s="8">
        <v>0.7</v>
      </c>
    </row>
    <row r="50" spans="3:23" x14ac:dyDescent="0.25">
      <c r="C50" s="5">
        <v>1</v>
      </c>
      <c r="D50" s="6" t="s">
        <v>111</v>
      </c>
      <c r="E50" s="68">
        <v>50000</v>
      </c>
      <c r="F50" s="68">
        <v>350000</v>
      </c>
      <c r="G50" s="69">
        <v>0.45</v>
      </c>
      <c r="H50" s="69">
        <v>0.25</v>
      </c>
      <c r="I50" s="69">
        <v>0.3</v>
      </c>
      <c r="J50" s="6">
        <v>0.5</v>
      </c>
      <c r="K50" s="8">
        <v>0.95</v>
      </c>
      <c r="P50" s="49" t="s">
        <v>150</v>
      </c>
      <c r="Q50" s="49"/>
      <c r="R50" s="49"/>
      <c r="T50" t="s">
        <v>153</v>
      </c>
    </row>
    <row r="51" spans="3:23" x14ac:dyDescent="0.25">
      <c r="C51" s="5">
        <v>2</v>
      </c>
      <c r="D51" s="6" t="s">
        <v>116</v>
      </c>
      <c r="E51" s="68">
        <v>15000</v>
      </c>
      <c r="F51" s="68">
        <v>50000</v>
      </c>
      <c r="G51" s="69">
        <v>0.5</v>
      </c>
      <c r="H51" s="69">
        <v>0.25</v>
      </c>
      <c r="I51" s="69">
        <v>0.25</v>
      </c>
      <c r="J51" s="6">
        <v>0.5</v>
      </c>
      <c r="K51" s="8">
        <v>1.1000000000000001</v>
      </c>
      <c r="P51" t="s">
        <v>89</v>
      </c>
      <c r="Q51" t="s">
        <v>104</v>
      </c>
      <c r="R51" t="s">
        <v>151</v>
      </c>
      <c r="T51" t="s">
        <v>89</v>
      </c>
      <c r="U51" t="s">
        <v>93</v>
      </c>
      <c r="V51" t="s">
        <v>14</v>
      </c>
      <c r="W51" t="s">
        <v>40</v>
      </c>
    </row>
    <row r="52" spans="3:23" x14ac:dyDescent="0.25">
      <c r="C52" s="5">
        <v>3</v>
      </c>
      <c r="D52" s="6" t="s">
        <v>117</v>
      </c>
      <c r="E52" s="68">
        <v>12000</v>
      </c>
      <c r="F52" s="68">
        <v>15000</v>
      </c>
      <c r="G52" s="69">
        <v>0.45</v>
      </c>
      <c r="H52" s="69">
        <v>0.35</v>
      </c>
      <c r="I52" s="69">
        <v>0.2</v>
      </c>
      <c r="J52" s="6">
        <v>0.65</v>
      </c>
      <c r="K52" s="8">
        <v>1.5</v>
      </c>
      <c r="P52" t="s">
        <v>5</v>
      </c>
      <c r="Q52">
        <v>14</v>
      </c>
      <c r="R52">
        <f>Q52*(U52/2)</f>
        <v>6420.96</v>
      </c>
      <c r="T52" t="s">
        <v>5</v>
      </c>
      <c r="U52" s="6">
        <f>J13*R45</f>
        <v>917.28</v>
      </c>
      <c r="V52">
        <f>ROUNDUP((U52/(H25*20))*2,0)</f>
        <v>230</v>
      </c>
      <c r="W52">
        <f>V52*2</f>
        <v>460</v>
      </c>
    </row>
    <row r="53" spans="3:23" x14ac:dyDescent="0.25">
      <c r="C53" s="5">
        <v>4</v>
      </c>
      <c r="D53" s="6" t="s">
        <v>91</v>
      </c>
      <c r="E53" s="68">
        <v>8000</v>
      </c>
      <c r="F53" s="68">
        <v>12000</v>
      </c>
      <c r="G53" s="69">
        <v>0.5</v>
      </c>
      <c r="H53" s="69">
        <v>0.35</v>
      </c>
      <c r="I53" s="69">
        <v>0.15</v>
      </c>
      <c r="J53" s="6">
        <v>0.7</v>
      </c>
      <c r="K53" s="8">
        <v>3</v>
      </c>
      <c r="P53" t="s">
        <v>6</v>
      </c>
      <c r="Q53">
        <v>16</v>
      </c>
      <c r="R53">
        <f>Q53*(U53/2)</f>
        <v>2768.64</v>
      </c>
      <c r="T53" t="s">
        <v>6</v>
      </c>
      <c r="U53">
        <f>J14*R45</f>
        <v>346.08</v>
      </c>
      <c r="V53">
        <f>ROUNDUP((U53/(H25*20))*2,0)</f>
        <v>87</v>
      </c>
      <c r="W53">
        <f>V53*2</f>
        <v>174</v>
      </c>
    </row>
    <row r="54" spans="3:23" x14ac:dyDescent="0.25">
      <c r="C54" s="5">
        <v>5</v>
      </c>
      <c r="D54" s="6" t="s">
        <v>134</v>
      </c>
      <c r="E54" s="68">
        <v>5000</v>
      </c>
      <c r="F54" s="68">
        <v>8000</v>
      </c>
      <c r="G54" s="69">
        <v>0.65</v>
      </c>
      <c r="H54" s="69">
        <v>0.23</v>
      </c>
      <c r="I54" s="69">
        <v>0.12</v>
      </c>
      <c r="J54" s="6">
        <v>0.75</v>
      </c>
      <c r="K54" s="8">
        <v>5</v>
      </c>
      <c r="Q54" t="s">
        <v>47</v>
      </c>
    </row>
    <row r="55" spans="3:23" x14ac:dyDescent="0.25">
      <c r="C55" s="5">
        <v>6</v>
      </c>
      <c r="D55" s="6" t="s">
        <v>112</v>
      </c>
      <c r="E55" s="68">
        <v>3000</v>
      </c>
      <c r="F55" s="68">
        <v>5000</v>
      </c>
      <c r="G55" s="69">
        <v>0.75</v>
      </c>
      <c r="H55" s="69">
        <v>0.17</v>
      </c>
      <c r="I55" s="69">
        <v>0.08</v>
      </c>
      <c r="J55" s="6">
        <v>0.9</v>
      </c>
      <c r="K55" s="8">
        <v>9</v>
      </c>
      <c r="P55" t="s">
        <v>15</v>
      </c>
      <c r="Q55">
        <f>(J32*R45)*I36</f>
        <v>850.33199999999988</v>
      </c>
    </row>
    <row r="56" spans="3:23" x14ac:dyDescent="0.25">
      <c r="C56" s="5">
        <v>7</v>
      </c>
      <c r="D56" s="6" t="s">
        <v>135</v>
      </c>
      <c r="E56" s="68">
        <v>1000</v>
      </c>
      <c r="F56" s="68">
        <v>3000</v>
      </c>
      <c r="G56" s="69">
        <v>0.8</v>
      </c>
      <c r="H56" s="69">
        <v>0.15</v>
      </c>
      <c r="I56" s="69">
        <v>0.05</v>
      </c>
      <c r="J56" s="6">
        <v>1.05</v>
      </c>
      <c r="K56" s="8">
        <v>12</v>
      </c>
      <c r="P56" t="s">
        <v>19</v>
      </c>
      <c r="Q56">
        <f>(J32*R45)*I37</f>
        <v>170.06639999999999</v>
      </c>
      <c r="T56" t="s">
        <v>155</v>
      </c>
    </row>
    <row r="57" spans="3:23" x14ac:dyDescent="0.25">
      <c r="C57" s="5">
        <v>8</v>
      </c>
      <c r="D57" s="6" t="s">
        <v>113</v>
      </c>
      <c r="E57" s="68">
        <v>300</v>
      </c>
      <c r="F57" s="68">
        <v>1000</v>
      </c>
      <c r="G57" s="69">
        <v>0.9</v>
      </c>
      <c r="H57" s="69">
        <v>7.0000000000000007E-2</v>
      </c>
      <c r="I57" s="69">
        <v>0.03</v>
      </c>
      <c r="J57" s="6">
        <v>1.1000000000000001</v>
      </c>
      <c r="K57" s="8">
        <v>15</v>
      </c>
      <c r="T57" t="s">
        <v>89</v>
      </c>
      <c r="U57" t="s">
        <v>156</v>
      </c>
      <c r="V57" t="s">
        <v>25</v>
      </c>
      <c r="W57" t="s">
        <v>14</v>
      </c>
    </row>
    <row r="58" spans="3:23" x14ac:dyDescent="0.25">
      <c r="C58" s="5">
        <v>9</v>
      </c>
      <c r="D58" s="6" t="s">
        <v>115</v>
      </c>
      <c r="E58" s="68">
        <v>50</v>
      </c>
      <c r="F58" s="68">
        <v>300</v>
      </c>
      <c r="G58" s="69">
        <v>0.95</v>
      </c>
      <c r="H58" s="69">
        <v>0.05</v>
      </c>
      <c r="I58" s="69">
        <v>0</v>
      </c>
      <c r="J58" s="6">
        <v>1.2</v>
      </c>
      <c r="K58" s="8">
        <v>15</v>
      </c>
      <c r="T58" t="s">
        <v>15</v>
      </c>
      <c r="U58">
        <f>ROUNDUP(I18*R45,0)</f>
        <v>1129</v>
      </c>
      <c r="V58">
        <f>ROUNDUP(U58/2,0)</f>
        <v>565</v>
      </c>
      <c r="W58">
        <f>ROUNDUP(U58/100,0)</f>
        <v>12</v>
      </c>
    </row>
    <row r="59" spans="3:23" x14ac:dyDescent="0.25">
      <c r="C59" s="9">
        <v>10</v>
      </c>
      <c r="D59" s="10" t="s">
        <v>114</v>
      </c>
      <c r="E59" s="70">
        <v>10</v>
      </c>
      <c r="F59" s="70">
        <v>50</v>
      </c>
      <c r="G59" s="15">
        <v>1</v>
      </c>
      <c r="H59" s="15">
        <v>0</v>
      </c>
      <c r="I59" s="15">
        <v>0</v>
      </c>
      <c r="J59" s="10">
        <v>1.5</v>
      </c>
      <c r="K59" s="12">
        <v>10</v>
      </c>
      <c r="T59" t="s">
        <v>23</v>
      </c>
      <c r="U59">
        <f>ROUNDUP(I19*R45,0)</f>
        <v>1864</v>
      </c>
      <c r="V59">
        <f>ROUNDUP(U59/15,0)</f>
        <v>125</v>
      </c>
      <c r="W59">
        <f>ROUNDUP(V59/100,0)</f>
        <v>2</v>
      </c>
    </row>
    <row r="62" spans="3:23" x14ac:dyDescent="0.25">
      <c r="D62" s="55" t="s">
        <v>138</v>
      </c>
      <c r="E62" s="56"/>
      <c r="F62" s="56"/>
      <c r="G62" s="57"/>
    </row>
    <row r="63" spans="3:23" x14ac:dyDescent="0.25">
      <c r="D63" s="5" t="s">
        <v>139</v>
      </c>
      <c r="E63" s="6" t="s">
        <v>10</v>
      </c>
      <c r="F63" s="6" t="s">
        <v>118</v>
      </c>
      <c r="G63" s="8" t="s">
        <v>11</v>
      </c>
    </row>
    <row r="64" spans="3:23" x14ac:dyDescent="0.25">
      <c r="D64" s="73" t="s">
        <v>140</v>
      </c>
      <c r="E64" s="74">
        <v>2E-3</v>
      </c>
      <c r="F64" s="74">
        <v>0</v>
      </c>
      <c r="G64" s="75">
        <v>1E-3</v>
      </c>
      <c r="H64" s="72"/>
    </row>
    <row r="65" spans="4:8" x14ac:dyDescent="0.25">
      <c r="D65" s="73" t="s">
        <v>141</v>
      </c>
      <c r="E65" s="74">
        <v>3.5999999999999999E-3</v>
      </c>
      <c r="F65" s="74">
        <v>0</v>
      </c>
      <c r="G65" s="75">
        <v>2E-3</v>
      </c>
      <c r="H65" s="72"/>
    </row>
    <row r="66" spans="4:8" x14ac:dyDescent="0.25">
      <c r="D66" s="73" t="s">
        <v>142</v>
      </c>
      <c r="E66" s="74">
        <v>5.4000000000000003E-3</v>
      </c>
      <c r="F66" s="74">
        <v>0</v>
      </c>
      <c r="G66" s="75">
        <v>6.0000000000000001E-3</v>
      </c>
      <c r="H66" s="72"/>
    </row>
    <row r="67" spans="4:8" x14ac:dyDescent="0.25">
      <c r="D67" s="73" t="s">
        <v>143</v>
      </c>
      <c r="E67" s="74">
        <v>8.9999999999999993E-3</v>
      </c>
      <c r="F67" s="74">
        <v>2E-3</v>
      </c>
      <c r="G67" s="75">
        <v>7.0000000000000001E-3</v>
      </c>
      <c r="H67" s="72"/>
    </row>
    <row r="68" spans="4:8" x14ac:dyDescent="0.25">
      <c r="D68" s="73" t="s">
        <v>144</v>
      </c>
      <c r="E68" s="74">
        <v>1.26E-2</v>
      </c>
      <c r="F68" s="74">
        <v>5.0000000000000001E-3</v>
      </c>
      <c r="G68" s="75">
        <v>1.2E-2</v>
      </c>
      <c r="H68" s="72"/>
    </row>
    <row r="69" spans="4:8" x14ac:dyDescent="0.25">
      <c r="D69" s="73" t="s">
        <v>145</v>
      </c>
      <c r="E69" s="74">
        <v>1.7000000000000001E-2</v>
      </c>
      <c r="F69" s="74">
        <v>6.4000000000000003E-3</v>
      </c>
      <c r="G69" s="75">
        <v>1.5599999999999999E-2</v>
      </c>
      <c r="H69" s="72"/>
    </row>
    <row r="70" spans="4:8" x14ac:dyDescent="0.25">
      <c r="D70" s="76" t="s">
        <v>146</v>
      </c>
      <c r="E70" s="77">
        <v>0.02</v>
      </c>
      <c r="F70" s="77">
        <v>1.1599999999999999E-2</v>
      </c>
      <c r="G70" s="78">
        <v>0.02</v>
      </c>
      <c r="H70" s="72"/>
    </row>
  </sheetData>
  <mergeCells count="26">
    <mergeCell ref="C2:G3"/>
    <mergeCell ref="D62:G62"/>
    <mergeCell ref="P38:R38"/>
    <mergeCell ref="P23:U23"/>
    <mergeCell ref="P45:Q45"/>
    <mergeCell ref="P50:R50"/>
    <mergeCell ref="D4:E4"/>
    <mergeCell ref="H11:L11"/>
    <mergeCell ref="H22:J22"/>
    <mergeCell ref="H16:K16"/>
    <mergeCell ref="H23:J24"/>
    <mergeCell ref="L4:N4"/>
    <mergeCell ref="H4:K4"/>
    <mergeCell ref="P10:T10"/>
    <mergeCell ref="P16:T16"/>
    <mergeCell ref="P17:T17"/>
    <mergeCell ref="Q4:T4"/>
    <mergeCell ref="S30:T30"/>
    <mergeCell ref="D47:F47"/>
    <mergeCell ref="G47:I47"/>
    <mergeCell ref="J47:K47"/>
    <mergeCell ref="P30:R30"/>
    <mergeCell ref="H35:J35"/>
    <mergeCell ref="H40:J40"/>
    <mergeCell ref="H25:J25"/>
    <mergeCell ref="H27:J27"/>
  </mergeCells>
  <pageMargins left="0.7" right="0.7" top="0.75" bottom="0.75" header="0.3" footer="0.3"/>
  <pageSetup paperSize="9" orientation="portrait" r:id="rId1"/>
  <ignoredErrors>
    <ignoredError sqref="J19" formula="1"/>
    <ignoredError sqref="Y15:Z15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56"/>
  <sheetViews>
    <sheetView workbookViewId="0">
      <selection activeCell="L7" sqref="L7:M8"/>
    </sheetView>
  </sheetViews>
  <sheetFormatPr defaultRowHeight="15" x14ac:dyDescent="0.25"/>
  <sheetData>
    <row r="1" spans="1:19" x14ac:dyDescent="0.25">
      <c r="A1" s="66" t="s">
        <v>123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5" t="s">
        <v>127</v>
      </c>
      <c r="O1" s="64"/>
      <c r="P1" s="64"/>
      <c r="Q1" s="64"/>
      <c r="R1" s="64"/>
      <c r="S1" s="64"/>
    </row>
    <row r="2" spans="1:19" x14ac:dyDescent="0.25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4"/>
      <c r="O2" s="64"/>
      <c r="P2" s="64"/>
      <c r="Q2" s="64"/>
      <c r="R2" s="64"/>
      <c r="S2" s="64"/>
    </row>
    <row r="3" spans="1:19" x14ac:dyDescent="0.25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4"/>
      <c r="O3" s="64"/>
      <c r="P3" s="64"/>
      <c r="Q3" s="64"/>
      <c r="R3" s="64"/>
      <c r="S3" s="64"/>
    </row>
    <row r="4" spans="1:19" x14ac:dyDescent="0.25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4"/>
      <c r="O4" s="64"/>
      <c r="P4" s="64"/>
      <c r="Q4" s="64"/>
      <c r="R4" s="64"/>
      <c r="S4" s="64"/>
    </row>
    <row r="5" spans="1:19" x14ac:dyDescent="0.25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4"/>
      <c r="O5" s="64"/>
      <c r="P5" s="64"/>
      <c r="Q5" s="64"/>
      <c r="R5" s="64"/>
      <c r="S5" s="64"/>
    </row>
    <row r="6" spans="1:19" x14ac:dyDescent="0.25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4"/>
      <c r="O6" s="64"/>
      <c r="P6" s="64"/>
      <c r="Q6" s="64"/>
      <c r="R6" s="64"/>
      <c r="S6" s="64"/>
    </row>
    <row r="7" spans="1:19" x14ac:dyDescent="0.25">
      <c r="A7" s="71" t="s">
        <v>136</v>
      </c>
      <c r="B7" s="71"/>
      <c r="C7" s="71"/>
      <c r="D7" s="71">
        <v>5572</v>
      </c>
      <c r="E7" s="71"/>
      <c r="F7" s="71"/>
      <c r="G7" s="42"/>
      <c r="H7" s="42"/>
      <c r="I7" s="42"/>
      <c r="J7" s="64" t="s">
        <v>124</v>
      </c>
      <c r="K7" s="64"/>
      <c r="L7" s="67" t="s">
        <v>134</v>
      </c>
      <c r="M7" s="67"/>
    </row>
    <row r="8" spans="1:19" x14ac:dyDescent="0.25">
      <c r="A8" s="71"/>
      <c r="B8" s="71"/>
      <c r="C8" s="71"/>
      <c r="D8" s="71"/>
      <c r="E8" s="71"/>
      <c r="F8" s="71"/>
      <c r="G8" s="42"/>
      <c r="H8" s="42"/>
      <c r="I8" s="42"/>
      <c r="J8" s="64"/>
      <c r="K8" s="64"/>
      <c r="L8" s="67"/>
      <c r="M8" s="67"/>
    </row>
    <row r="9" spans="1:19" x14ac:dyDescent="0.25">
      <c r="A9" s="64" t="s">
        <v>125</v>
      </c>
      <c r="B9" s="64"/>
      <c r="C9" s="64"/>
      <c r="D9" s="49">
        <v>3589</v>
      </c>
      <c r="E9" s="49"/>
      <c r="F9" s="49"/>
      <c r="J9" s="64" t="s">
        <v>137</v>
      </c>
      <c r="K9" s="64"/>
      <c r="L9" s="67" t="s">
        <v>143</v>
      </c>
      <c r="M9" s="67"/>
    </row>
    <row r="10" spans="1:19" x14ac:dyDescent="0.25">
      <c r="A10" s="64"/>
      <c r="B10" s="64"/>
      <c r="C10" s="64"/>
      <c r="D10" s="49"/>
      <c r="E10" s="49"/>
      <c r="F10" s="49"/>
      <c r="J10" s="64"/>
      <c r="K10" s="64"/>
      <c r="L10" s="67"/>
      <c r="M10" s="67"/>
    </row>
    <row r="11" spans="1:19" x14ac:dyDescent="0.25">
      <c r="A11" s="64" t="s">
        <v>100</v>
      </c>
      <c r="B11" s="64"/>
      <c r="C11" s="64"/>
      <c r="D11" s="49">
        <v>1278</v>
      </c>
      <c r="E11" s="49"/>
      <c r="F11" s="49"/>
    </row>
    <row r="12" spans="1:19" x14ac:dyDescent="0.25">
      <c r="A12" s="64"/>
      <c r="B12" s="64"/>
      <c r="C12" s="64"/>
      <c r="D12" s="49"/>
      <c r="E12" s="49"/>
      <c r="F12" s="49"/>
    </row>
    <row r="13" spans="1:19" x14ac:dyDescent="0.25">
      <c r="A13" s="64" t="s">
        <v>126</v>
      </c>
      <c r="B13" s="64"/>
      <c r="C13" s="64"/>
      <c r="D13" s="49">
        <v>663</v>
      </c>
      <c r="E13" s="49"/>
      <c r="F13" s="49"/>
    </row>
    <row r="14" spans="1:19" x14ac:dyDescent="0.25">
      <c r="A14" s="64"/>
      <c r="B14" s="64"/>
      <c r="C14" s="64"/>
      <c r="D14" s="49"/>
      <c r="E14" s="49"/>
      <c r="F14" s="49"/>
    </row>
    <row r="15" spans="1:19" x14ac:dyDescent="0.25">
      <c r="A15" s="64" t="s">
        <v>133</v>
      </c>
      <c r="B15" s="64"/>
      <c r="C15" s="64"/>
      <c r="D15" s="49">
        <v>39</v>
      </c>
      <c r="E15" s="49"/>
      <c r="F15" s="49"/>
    </row>
    <row r="16" spans="1:19" x14ac:dyDescent="0.25">
      <c r="A16" s="64"/>
      <c r="B16" s="64"/>
      <c r="C16" s="64"/>
      <c r="D16" s="49"/>
      <c r="E16" s="49"/>
      <c r="F16" s="49"/>
    </row>
    <row r="17" spans="1:13" x14ac:dyDescent="0.25">
      <c r="A17" s="64" t="s">
        <v>128</v>
      </c>
      <c r="B17" s="64"/>
      <c r="C17" s="64"/>
      <c r="D17" s="64"/>
      <c r="E17" s="64"/>
      <c r="F17" s="64"/>
      <c r="G17" s="43"/>
      <c r="H17" s="43"/>
      <c r="I17" s="43"/>
      <c r="J17" s="43"/>
      <c r="K17" s="43"/>
      <c r="L17" s="43"/>
      <c r="M17" s="43"/>
    </row>
    <row r="18" spans="1:13" x14ac:dyDescent="0.25">
      <c r="A18" s="64"/>
      <c r="B18" s="64"/>
      <c r="C18" s="64"/>
      <c r="D18" s="64"/>
      <c r="E18" s="64"/>
      <c r="F18" s="64"/>
      <c r="G18" s="43"/>
      <c r="H18" s="43"/>
      <c r="I18" s="43"/>
      <c r="J18" s="43"/>
      <c r="K18" s="43"/>
      <c r="L18" s="43"/>
      <c r="M18" s="43"/>
    </row>
    <row r="19" spans="1:13" x14ac:dyDescent="0.25">
      <c r="A19" s="49" t="s">
        <v>86</v>
      </c>
      <c r="B19" s="49"/>
      <c r="C19" s="49"/>
      <c r="D19" s="49"/>
      <c r="E19" s="49"/>
      <c r="F19" s="49"/>
    </row>
    <row r="20" spans="1:13" x14ac:dyDescent="0.25">
      <c r="A20" s="49"/>
      <c r="B20" s="49"/>
      <c r="C20" s="49"/>
      <c r="D20" s="49"/>
      <c r="E20" s="49"/>
      <c r="F20" s="49"/>
    </row>
    <row r="21" spans="1:13" x14ac:dyDescent="0.25">
      <c r="A21" s="49" t="s">
        <v>87</v>
      </c>
      <c r="B21" s="49"/>
      <c r="C21" s="49"/>
      <c r="D21" s="49"/>
      <c r="E21" s="49"/>
      <c r="F21" s="49"/>
    </row>
    <row r="22" spans="1:13" x14ac:dyDescent="0.25">
      <c r="A22" s="49"/>
      <c r="B22" s="49"/>
      <c r="C22" s="49"/>
      <c r="D22" s="49"/>
      <c r="E22" s="49"/>
      <c r="F22" s="49"/>
    </row>
    <row r="23" spans="1:13" x14ac:dyDescent="0.25">
      <c r="A23" s="49" t="s">
        <v>42</v>
      </c>
      <c r="B23" s="49"/>
      <c r="C23" s="49"/>
      <c r="D23" s="49"/>
      <c r="E23" s="49"/>
      <c r="F23" s="49"/>
    </row>
    <row r="24" spans="1:13" x14ac:dyDescent="0.25">
      <c r="A24" s="49"/>
      <c r="B24" s="49"/>
      <c r="C24" s="49"/>
      <c r="D24" s="49"/>
      <c r="E24" s="49"/>
      <c r="F24" s="49"/>
    </row>
    <row r="25" spans="1:13" x14ac:dyDescent="0.25">
      <c r="A25" s="49" t="s">
        <v>43</v>
      </c>
      <c r="B25" s="49"/>
      <c r="C25" s="49"/>
      <c r="D25" s="49"/>
      <c r="E25" s="49"/>
      <c r="F25" s="49"/>
    </row>
    <row r="26" spans="1:13" x14ac:dyDescent="0.25">
      <c r="A26" s="49"/>
      <c r="B26" s="49"/>
      <c r="C26" s="49"/>
      <c r="D26" s="49"/>
      <c r="E26" s="49"/>
      <c r="F26" s="49"/>
    </row>
    <row r="27" spans="1:13" x14ac:dyDescent="0.25">
      <c r="A27" s="49" t="s">
        <v>132</v>
      </c>
      <c r="B27" s="49"/>
      <c r="C27" s="49"/>
      <c r="D27" s="49"/>
      <c r="E27" s="49"/>
      <c r="F27" s="49"/>
    </row>
    <row r="28" spans="1:13" x14ac:dyDescent="0.25">
      <c r="A28" s="49"/>
      <c r="B28" s="49"/>
      <c r="C28" s="49"/>
      <c r="D28" s="49"/>
      <c r="E28" s="49"/>
      <c r="F28" s="49"/>
    </row>
    <row r="29" spans="1:13" x14ac:dyDescent="0.25">
      <c r="A29" s="49" t="s">
        <v>57</v>
      </c>
      <c r="B29" s="49"/>
      <c r="C29" s="49"/>
      <c r="D29" s="49"/>
      <c r="E29" s="49"/>
      <c r="F29" s="49"/>
    </row>
    <row r="30" spans="1:13" x14ac:dyDescent="0.25">
      <c r="A30" s="49"/>
      <c r="B30" s="49"/>
      <c r="C30" s="49"/>
      <c r="D30" s="49"/>
      <c r="E30" s="49"/>
      <c r="F30" s="49"/>
    </row>
    <row r="31" spans="1:13" x14ac:dyDescent="0.25">
      <c r="A31" s="49" t="s">
        <v>129</v>
      </c>
      <c r="B31" s="49"/>
      <c r="C31" s="49"/>
      <c r="D31" s="49"/>
      <c r="E31" s="49"/>
      <c r="F31" s="49"/>
    </row>
    <row r="32" spans="1:13" x14ac:dyDescent="0.25">
      <c r="A32" s="49"/>
      <c r="B32" s="49"/>
      <c r="C32" s="49"/>
      <c r="D32" s="49"/>
      <c r="E32" s="49"/>
      <c r="F32" s="49"/>
    </row>
    <row r="33" spans="1:6" x14ac:dyDescent="0.25">
      <c r="A33" s="49" t="s">
        <v>45</v>
      </c>
      <c r="B33" s="49"/>
      <c r="C33" s="49"/>
      <c r="D33" s="49"/>
      <c r="E33" s="49"/>
      <c r="F33" s="49"/>
    </row>
    <row r="34" spans="1:6" x14ac:dyDescent="0.25">
      <c r="A34" s="49"/>
      <c r="B34" s="49"/>
      <c r="C34" s="49"/>
      <c r="D34" s="49"/>
      <c r="E34" s="49"/>
      <c r="F34" s="49"/>
    </row>
    <row r="35" spans="1:6" x14ac:dyDescent="0.25">
      <c r="A35" s="49" t="s">
        <v>55</v>
      </c>
      <c r="B35" s="49"/>
      <c r="C35" s="49"/>
      <c r="D35" s="49"/>
      <c r="E35" s="49"/>
      <c r="F35" s="49"/>
    </row>
    <row r="36" spans="1:6" x14ac:dyDescent="0.25">
      <c r="A36" s="49"/>
      <c r="B36" s="49"/>
      <c r="C36" s="49"/>
      <c r="D36" s="49"/>
      <c r="E36" s="49"/>
      <c r="F36" s="49"/>
    </row>
    <row r="37" spans="1:6" x14ac:dyDescent="0.25">
      <c r="A37" s="49" t="s">
        <v>56</v>
      </c>
      <c r="B37" s="49"/>
      <c r="C37" s="49"/>
      <c r="D37" s="49"/>
      <c r="E37" s="49"/>
      <c r="F37" s="49"/>
    </row>
    <row r="38" spans="1:6" x14ac:dyDescent="0.25">
      <c r="A38" s="49"/>
      <c r="B38" s="49"/>
      <c r="C38" s="49"/>
      <c r="D38" s="49"/>
      <c r="E38" s="49"/>
      <c r="F38" s="49"/>
    </row>
    <row r="39" spans="1:6" x14ac:dyDescent="0.25">
      <c r="A39" s="49" t="s">
        <v>58</v>
      </c>
      <c r="B39" s="49"/>
      <c r="C39" s="49"/>
      <c r="D39" s="49"/>
      <c r="E39" s="49"/>
      <c r="F39" s="49"/>
    </row>
    <row r="40" spans="1:6" x14ac:dyDescent="0.25">
      <c r="A40" s="49"/>
      <c r="B40" s="49"/>
      <c r="C40" s="49"/>
      <c r="D40" s="49"/>
      <c r="E40" s="49"/>
      <c r="F40" s="49"/>
    </row>
    <row r="41" spans="1:6" x14ac:dyDescent="0.25">
      <c r="A41" s="49" t="s">
        <v>61</v>
      </c>
      <c r="B41" s="49"/>
      <c r="C41" s="49"/>
      <c r="D41" s="49"/>
      <c r="E41" s="49"/>
      <c r="F41" s="49"/>
    </row>
    <row r="42" spans="1:6" x14ac:dyDescent="0.25">
      <c r="A42" s="49"/>
      <c r="B42" s="49"/>
      <c r="C42" s="49"/>
      <c r="D42" s="49"/>
      <c r="E42" s="49"/>
      <c r="F42" s="49"/>
    </row>
    <row r="43" spans="1:6" x14ac:dyDescent="0.25">
      <c r="A43" s="49" t="s">
        <v>54</v>
      </c>
      <c r="B43" s="49"/>
      <c r="C43" s="49"/>
      <c r="D43" s="49"/>
      <c r="E43" s="49"/>
      <c r="F43" s="49"/>
    </row>
    <row r="44" spans="1:6" x14ac:dyDescent="0.25">
      <c r="A44" s="49"/>
      <c r="B44" s="49"/>
      <c r="C44" s="49"/>
      <c r="D44" s="49"/>
      <c r="E44" s="49"/>
      <c r="F44" s="49"/>
    </row>
    <row r="45" spans="1:6" x14ac:dyDescent="0.25">
      <c r="A45" s="49" t="s">
        <v>130</v>
      </c>
      <c r="B45" s="49"/>
      <c r="C45" s="49"/>
      <c r="D45" s="49"/>
      <c r="E45" s="49"/>
      <c r="F45" s="49"/>
    </row>
    <row r="46" spans="1:6" x14ac:dyDescent="0.25">
      <c r="A46" s="49"/>
      <c r="B46" s="49"/>
      <c r="C46" s="49"/>
      <c r="D46" s="49"/>
      <c r="E46" s="49"/>
      <c r="F46" s="49"/>
    </row>
    <row r="47" spans="1:6" x14ac:dyDescent="0.25">
      <c r="A47" s="49" t="s">
        <v>131</v>
      </c>
      <c r="B47" s="49"/>
      <c r="C47" s="49"/>
      <c r="D47" s="49"/>
      <c r="E47" s="49"/>
      <c r="F47" s="49"/>
    </row>
    <row r="48" spans="1:6" x14ac:dyDescent="0.25">
      <c r="A48" s="49"/>
      <c r="B48" s="49"/>
      <c r="C48" s="49"/>
      <c r="D48" s="49"/>
      <c r="E48" s="49"/>
      <c r="F48" s="49"/>
    </row>
    <row r="49" spans="1:6" x14ac:dyDescent="0.25">
      <c r="A49" s="49" t="s">
        <v>85</v>
      </c>
      <c r="B49" s="49"/>
      <c r="C49" s="49"/>
      <c r="D49" s="49"/>
      <c r="E49" s="49"/>
      <c r="F49" s="49"/>
    </row>
    <row r="50" spans="1:6" x14ac:dyDescent="0.25">
      <c r="A50" s="49"/>
      <c r="B50" s="49"/>
      <c r="C50" s="49"/>
      <c r="D50" s="49"/>
      <c r="E50" s="49"/>
      <c r="F50" s="49"/>
    </row>
    <row r="51" spans="1:6" x14ac:dyDescent="0.25">
      <c r="A51" s="49" t="s">
        <v>62</v>
      </c>
      <c r="B51" s="49"/>
      <c r="C51" s="49"/>
      <c r="D51" s="49"/>
      <c r="E51" s="49"/>
      <c r="F51" s="49"/>
    </row>
    <row r="52" spans="1:6" x14ac:dyDescent="0.25">
      <c r="A52" s="49"/>
      <c r="B52" s="49"/>
      <c r="C52" s="49"/>
      <c r="D52" s="49"/>
      <c r="E52" s="49"/>
      <c r="F52" s="49"/>
    </row>
    <row r="53" spans="1:6" x14ac:dyDescent="0.25">
      <c r="A53" s="49" t="s">
        <v>63</v>
      </c>
      <c r="B53" s="49"/>
      <c r="C53" s="49"/>
      <c r="D53" s="49"/>
      <c r="E53" s="49"/>
      <c r="F53" s="49"/>
    </row>
    <row r="54" spans="1:6" x14ac:dyDescent="0.25">
      <c r="A54" s="49"/>
      <c r="B54" s="49"/>
      <c r="C54" s="49"/>
      <c r="D54" s="49"/>
      <c r="E54" s="49"/>
      <c r="F54" s="49"/>
    </row>
    <row r="55" spans="1:6" x14ac:dyDescent="0.25">
      <c r="A55" s="38"/>
      <c r="B55" s="38"/>
      <c r="C55" s="38"/>
    </row>
    <row r="56" spans="1:6" x14ac:dyDescent="0.25">
      <c r="A56" s="38"/>
      <c r="B56" s="38"/>
      <c r="C56" s="38"/>
    </row>
  </sheetData>
  <mergeCells count="53">
    <mergeCell ref="L7:M8"/>
    <mergeCell ref="A7:C8"/>
    <mergeCell ref="D7:F8"/>
    <mergeCell ref="J9:K10"/>
    <mergeCell ref="L9:M10"/>
    <mergeCell ref="A31:C32"/>
    <mergeCell ref="A33:C34"/>
    <mergeCell ref="A35:C36"/>
    <mergeCell ref="A37:C38"/>
    <mergeCell ref="N1:S6"/>
    <mergeCell ref="A19:C20"/>
    <mergeCell ref="A21:C22"/>
    <mergeCell ref="A9:C10"/>
    <mergeCell ref="A11:C12"/>
    <mergeCell ref="A13:C14"/>
    <mergeCell ref="D9:F10"/>
    <mergeCell ref="D11:F12"/>
    <mergeCell ref="D13:F14"/>
    <mergeCell ref="A1:M6"/>
    <mergeCell ref="J7:K8"/>
    <mergeCell ref="A51:C52"/>
    <mergeCell ref="A53:C54"/>
    <mergeCell ref="A39:C40"/>
    <mergeCell ref="A41:C42"/>
    <mergeCell ref="A43:C44"/>
    <mergeCell ref="A45:C46"/>
    <mergeCell ref="A47:C48"/>
    <mergeCell ref="A49:C50"/>
    <mergeCell ref="D23:F24"/>
    <mergeCell ref="D25:F26"/>
    <mergeCell ref="D27:F28"/>
    <mergeCell ref="D29:F30"/>
    <mergeCell ref="A29:C30"/>
    <mergeCell ref="A27:C28"/>
    <mergeCell ref="A25:C26"/>
    <mergeCell ref="A23:C24"/>
    <mergeCell ref="A15:C16"/>
    <mergeCell ref="D15:F16"/>
    <mergeCell ref="A17:F18"/>
    <mergeCell ref="D19:F20"/>
    <mergeCell ref="D21:F22"/>
    <mergeCell ref="D53:F54"/>
    <mergeCell ref="D31:F32"/>
    <mergeCell ref="D33:F34"/>
    <mergeCell ref="D35:F36"/>
    <mergeCell ref="D37:F38"/>
    <mergeCell ref="D39:F40"/>
    <mergeCell ref="D41:F42"/>
    <mergeCell ref="D43:F44"/>
    <mergeCell ref="D45:F46"/>
    <mergeCell ref="D47:F48"/>
    <mergeCell ref="D49:F50"/>
    <mergeCell ref="D51:F52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Sheet1!$D$49:$D$59</xm:f>
          </x14:formula1>
          <xm:sqref>L7:M8</xm:sqref>
        </x14:dataValidation>
        <x14:dataValidation type="list" allowBlank="1" showInputMessage="1" showErrorMessage="1">
          <x14:formula1>
            <xm:f>Sheet1!$D$64:$D$70</xm:f>
          </x14:formula1>
          <xm:sqref>L9:M10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2017-05-20T11:53:18Z</dcterms:created>
  <dcterms:modified xsi:type="dcterms:W3CDTF">2017-05-31T20:23:45Z</dcterms:modified>
</cp:coreProperties>
</file>